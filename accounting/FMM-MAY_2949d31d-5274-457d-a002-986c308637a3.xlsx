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ne.cantillo\Downloads\2023\2023\"/>
    </mc:Choice>
  </mc:AlternateContent>
  <xr:revisionPtr revIDLastSave="0" documentId="13_ncr:1_{186ACB3D-9203-4B25-8B94-0E24243DE18A}" xr6:coauthVersionLast="47" xr6:coauthVersionMax="47" xr10:uidLastSave="{00000000-0000-0000-0000-000000000000}"/>
  <bookViews>
    <workbookView xWindow="-120" yWindow="-120" windowWidth="29040" windowHeight="15840" activeTab="10" xr2:uid="{73BAC58E-3FF7-4C2B-B46E-26E4EE7BD598}"/>
  </bookViews>
  <sheets>
    <sheet name="FMM" sheetId="1" r:id="rId1"/>
    <sheet name="FMM (2)" sheetId="6" r:id="rId2"/>
    <sheet name="FMM (3)" sheetId="7" r:id="rId3"/>
    <sheet name="FMM (4)" sheetId="8" r:id="rId4"/>
    <sheet name="FMM (5)" sheetId="9" r:id="rId5"/>
    <sheet name="FMM (6)" sheetId="10" r:id="rId6"/>
    <sheet name="FMM (7)" sheetId="11" r:id="rId7"/>
    <sheet name="FMM (8)" sheetId="12" r:id="rId8"/>
    <sheet name="FMM (9)" sheetId="13" r:id="rId9"/>
    <sheet name="FMM (10)" sheetId="14" r:id="rId10"/>
    <sheet name="FMM (11)" sheetId="15" r:id="rId11"/>
    <sheet name="Sheet1" sheetId="5" r:id="rId12"/>
    <sheet name="ITEM LIST" sheetId="4" r:id="rId13"/>
  </sheets>
  <definedNames>
    <definedName name="_xlnm.Print_Area" localSheetId="0">FMM!$A$1:$H$85</definedName>
    <definedName name="_xlnm.Print_Area" localSheetId="9">'FMM (10)'!$A$1:$H$85</definedName>
    <definedName name="_xlnm.Print_Area" localSheetId="10">'FMM (11)'!$A$1:$H$85</definedName>
    <definedName name="_xlnm.Print_Area" localSheetId="1">'FMM (2)'!$A$1:$H$85</definedName>
    <definedName name="_xlnm.Print_Area" localSheetId="2">'FMM (3)'!$A$1:$H$85</definedName>
    <definedName name="_xlnm.Print_Area" localSheetId="3">'FMM (4)'!$A$1:$H$85</definedName>
    <definedName name="_xlnm.Print_Area" localSheetId="4">'FMM (5)'!$A$1:$H$85</definedName>
    <definedName name="_xlnm.Print_Area" localSheetId="5">'FMM (6)'!$A$1:$H$85</definedName>
    <definedName name="_xlnm.Print_Area" localSheetId="6">'FMM (7)'!$A$1:$H$85</definedName>
    <definedName name="_xlnm.Print_Area" localSheetId="7">'FMM (8)'!$A$1:$H$85</definedName>
    <definedName name="_xlnm.Print_Area" localSheetId="8">'FMM (9)'!$A$1:$H$85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6" i="14" l="1"/>
  <c r="F66" i="13"/>
  <c r="F66" i="12"/>
  <c r="F66" i="11"/>
  <c r="F66" i="10"/>
  <c r="F66" i="9"/>
  <c r="F66" i="8"/>
  <c r="F66" i="7"/>
  <c r="F66" i="6"/>
  <c r="F66" i="1"/>
  <c r="F83" i="15"/>
  <c r="H83" i="15" s="1"/>
  <c r="H75" i="15"/>
  <c r="H79" i="15" s="1"/>
  <c r="F48" i="15"/>
  <c r="B48" i="15"/>
  <c r="F47" i="15"/>
  <c r="B47" i="15"/>
  <c r="F46" i="15"/>
  <c r="B46" i="15"/>
  <c r="F45" i="15"/>
  <c r="B45" i="15"/>
  <c r="F44" i="15"/>
  <c r="B44" i="15"/>
  <c r="F43" i="15"/>
  <c r="B43" i="15"/>
  <c r="F42" i="15"/>
  <c r="B42" i="15"/>
  <c r="F41" i="15"/>
  <c r="B41" i="15"/>
  <c r="F40" i="15"/>
  <c r="B40" i="15"/>
  <c r="F39" i="15"/>
  <c r="B39" i="15"/>
  <c r="F38" i="15"/>
  <c r="B38" i="15"/>
  <c r="F37" i="15"/>
  <c r="B37" i="15"/>
  <c r="F36" i="15"/>
  <c r="B36" i="15"/>
  <c r="F35" i="15"/>
  <c r="B35" i="15"/>
  <c r="F34" i="15"/>
  <c r="B34" i="15"/>
  <c r="F33" i="15"/>
  <c r="B33" i="15"/>
  <c r="F32" i="15"/>
  <c r="B32" i="15"/>
  <c r="F31" i="15"/>
  <c r="B31" i="15"/>
  <c r="F30" i="15"/>
  <c r="B30" i="15"/>
  <c r="F29" i="15"/>
  <c r="B29" i="15"/>
  <c r="F28" i="15"/>
  <c r="B28" i="15"/>
  <c r="F27" i="15"/>
  <c r="B27" i="15"/>
  <c r="F83" i="14"/>
  <c r="H83" i="14" s="1"/>
  <c r="H75" i="14"/>
  <c r="H79" i="14" s="1"/>
  <c r="B66" i="14"/>
  <c r="F65" i="14"/>
  <c r="B65" i="14"/>
  <c r="F64" i="14"/>
  <c r="B64" i="14"/>
  <c r="F63" i="14"/>
  <c r="B63" i="14"/>
  <c r="F62" i="14"/>
  <c r="B62" i="14"/>
  <c r="F61" i="14"/>
  <c r="B61" i="14"/>
  <c r="F60" i="14"/>
  <c r="B60" i="14"/>
  <c r="F59" i="14"/>
  <c r="B59" i="14"/>
  <c r="F58" i="14"/>
  <c r="B58" i="14"/>
  <c r="F57" i="14"/>
  <c r="B57" i="14"/>
  <c r="F56" i="14"/>
  <c r="B56" i="14"/>
  <c r="F55" i="14"/>
  <c r="B55" i="14"/>
  <c r="F54" i="14"/>
  <c r="B54" i="14"/>
  <c r="F53" i="14"/>
  <c r="B53" i="14"/>
  <c r="F52" i="14"/>
  <c r="B52" i="14"/>
  <c r="F51" i="14"/>
  <c r="B51" i="14"/>
  <c r="F50" i="14"/>
  <c r="B50" i="14"/>
  <c r="F49" i="14"/>
  <c r="B49" i="14"/>
  <c r="F48" i="14"/>
  <c r="B48" i="14"/>
  <c r="F47" i="14"/>
  <c r="B47" i="14"/>
  <c r="F46" i="14"/>
  <c r="B46" i="14"/>
  <c r="F45" i="14"/>
  <c r="B45" i="14"/>
  <c r="F44" i="14"/>
  <c r="B44" i="14"/>
  <c r="F43" i="14"/>
  <c r="B43" i="14"/>
  <c r="F42" i="14"/>
  <c r="B42" i="14"/>
  <c r="F41" i="14"/>
  <c r="B41" i="14"/>
  <c r="F40" i="14"/>
  <c r="B40" i="14"/>
  <c r="F39" i="14"/>
  <c r="B39" i="14"/>
  <c r="F38" i="14"/>
  <c r="B38" i="14"/>
  <c r="F37" i="14"/>
  <c r="B37" i="14"/>
  <c r="F36" i="14"/>
  <c r="B36" i="14"/>
  <c r="F35" i="14"/>
  <c r="B35" i="14"/>
  <c r="F34" i="14"/>
  <c r="B34" i="14"/>
  <c r="F33" i="14"/>
  <c r="B33" i="14"/>
  <c r="F32" i="14"/>
  <c r="B32" i="14"/>
  <c r="F31" i="14"/>
  <c r="B31" i="14"/>
  <c r="F30" i="14"/>
  <c r="B30" i="14"/>
  <c r="F29" i="14"/>
  <c r="B29" i="14"/>
  <c r="F28" i="14"/>
  <c r="B28" i="14"/>
  <c r="F27" i="14"/>
  <c r="B27" i="14"/>
  <c r="B27" i="13"/>
  <c r="F27" i="13"/>
  <c r="B28" i="13"/>
  <c r="F28" i="13"/>
  <c r="B29" i="13"/>
  <c r="F29" i="13"/>
  <c r="B30" i="13"/>
  <c r="F30" i="13"/>
  <c r="B31" i="13"/>
  <c r="F31" i="13"/>
  <c r="B32" i="13"/>
  <c r="F32" i="13"/>
  <c r="B33" i="13"/>
  <c r="F33" i="13"/>
  <c r="B34" i="13"/>
  <c r="F34" i="13"/>
  <c r="B35" i="13"/>
  <c r="F35" i="13"/>
  <c r="B36" i="13"/>
  <c r="F36" i="13"/>
  <c r="B37" i="13"/>
  <c r="F37" i="13"/>
  <c r="B38" i="13"/>
  <c r="F38" i="13"/>
  <c r="B39" i="13"/>
  <c r="F39" i="13"/>
  <c r="B40" i="13"/>
  <c r="F40" i="13"/>
  <c r="B41" i="13"/>
  <c r="F41" i="13"/>
  <c r="B42" i="13"/>
  <c r="F42" i="13"/>
  <c r="B43" i="13"/>
  <c r="F43" i="13"/>
  <c r="B44" i="13"/>
  <c r="F44" i="13"/>
  <c r="B45" i="13"/>
  <c r="F45" i="13"/>
  <c r="B46" i="13"/>
  <c r="F46" i="13"/>
  <c r="B47" i="13"/>
  <c r="F47" i="13"/>
  <c r="B48" i="13"/>
  <c r="F48" i="13"/>
  <c r="B49" i="13"/>
  <c r="F49" i="13"/>
  <c r="B50" i="13"/>
  <c r="F50" i="13"/>
  <c r="B51" i="13"/>
  <c r="F51" i="13"/>
  <c r="B52" i="13"/>
  <c r="F52" i="13"/>
  <c r="B53" i="13"/>
  <c r="F53" i="13"/>
  <c r="B54" i="13"/>
  <c r="F54" i="13"/>
  <c r="B55" i="13"/>
  <c r="F55" i="13"/>
  <c r="B56" i="13"/>
  <c r="F56" i="13"/>
  <c r="B57" i="13"/>
  <c r="F57" i="13"/>
  <c r="B58" i="13"/>
  <c r="F58" i="13"/>
  <c r="B59" i="13"/>
  <c r="F59" i="13"/>
  <c r="B60" i="13"/>
  <c r="F60" i="13"/>
  <c r="B61" i="13"/>
  <c r="F61" i="13"/>
  <c r="B62" i="13"/>
  <c r="F62" i="13"/>
  <c r="B63" i="13"/>
  <c r="F63" i="13"/>
  <c r="B64" i="13"/>
  <c r="F64" i="13"/>
  <c r="B65" i="13"/>
  <c r="F65" i="13"/>
  <c r="B66" i="13"/>
  <c r="F83" i="13"/>
  <c r="H83" i="13" s="1"/>
  <c r="H75" i="13"/>
  <c r="H79" i="13" s="1"/>
  <c r="F83" i="12"/>
  <c r="H83" i="12" s="1"/>
  <c r="H75" i="12"/>
  <c r="H79" i="12" s="1"/>
  <c r="B66" i="12"/>
  <c r="F65" i="12"/>
  <c r="B65" i="12"/>
  <c r="F64" i="12"/>
  <c r="B64" i="12"/>
  <c r="F63" i="12"/>
  <c r="B63" i="12"/>
  <c r="F62" i="12"/>
  <c r="B62" i="12"/>
  <c r="F61" i="12"/>
  <c r="B61" i="12"/>
  <c r="F60" i="12"/>
  <c r="B60" i="12"/>
  <c r="F59" i="12"/>
  <c r="B59" i="12"/>
  <c r="F58" i="12"/>
  <c r="B58" i="12"/>
  <c r="F57" i="12"/>
  <c r="B57" i="12"/>
  <c r="F56" i="12"/>
  <c r="B56" i="12"/>
  <c r="F55" i="12"/>
  <c r="B55" i="12"/>
  <c r="F54" i="12"/>
  <c r="B54" i="12"/>
  <c r="F53" i="12"/>
  <c r="B53" i="12"/>
  <c r="F52" i="12"/>
  <c r="B52" i="12"/>
  <c r="F51" i="12"/>
  <c r="B51" i="12"/>
  <c r="F50" i="12"/>
  <c r="B50" i="12"/>
  <c r="F49" i="12"/>
  <c r="B49" i="12"/>
  <c r="F48" i="12"/>
  <c r="B48" i="12"/>
  <c r="F47" i="12"/>
  <c r="B47" i="12"/>
  <c r="F46" i="12"/>
  <c r="B46" i="12"/>
  <c r="F45" i="12"/>
  <c r="B45" i="12"/>
  <c r="F44" i="12"/>
  <c r="B44" i="12"/>
  <c r="F43" i="12"/>
  <c r="B43" i="12"/>
  <c r="F42" i="12"/>
  <c r="B42" i="12"/>
  <c r="F41" i="12"/>
  <c r="B41" i="12"/>
  <c r="F40" i="12"/>
  <c r="B40" i="12"/>
  <c r="F39" i="12"/>
  <c r="B39" i="12"/>
  <c r="F38" i="12"/>
  <c r="B38" i="12"/>
  <c r="F37" i="12"/>
  <c r="B37" i="12"/>
  <c r="F36" i="12"/>
  <c r="B36" i="12"/>
  <c r="F35" i="12"/>
  <c r="B35" i="12"/>
  <c r="F34" i="12"/>
  <c r="B34" i="12"/>
  <c r="F33" i="12"/>
  <c r="B33" i="12"/>
  <c r="F32" i="12"/>
  <c r="B32" i="12"/>
  <c r="F31" i="12"/>
  <c r="B31" i="12"/>
  <c r="F30" i="12"/>
  <c r="B30" i="12"/>
  <c r="F29" i="12"/>
  <c r="B29" i="12"/>
  <c r="F28" i="12"/>
  <c r="B28" i="12"/>
  <c r="F27" i="12"/>
  <c r="B27" i="12"/>
  <c r="F83" i="11"/>
  <c r="H83" i="11" s="1"/>
  <c r="H75" i="11"/>
  <c r="H79" i="11" s="1"/>
  <c r="B66" i="11"/>
  <c r="F65" i="11"/>
  <c r="B65" i="11"/>
  <c r="F64" i="11"/>
  <c r="B64" i="11"/>
  <c r="F63" i="11"/>
  <c r="B63" i="11"/>
  <c r="F62" i="11"/>
  <c r="B62" i="11"/>
  <c r="F61" i="11"/>
  <c r="B61" i="11"/>
  <c r="F60" i="11"/>
  <c r="B60" i="11"/>
  <c r="F59" i="11"/>
  <c r="B59" i="11"/>
  <c r="F58" i="11"/>
  <c r="B58" i="11"/>
  <c r="F57" i="11"/>
  <c r="B57" i="11"/>
  <c r="F56" i="11"/>
  <c r="B56" i="11"/>
  <c r="F55" i="11"/>
  <c r="B55" i="11"/>
  <c r="F54" i="11"/>
  <c r="B54" i="11"/>
  <c r="F53" i="11"/>
  <c r="B53" i="11"/>
  <c r="F52" i="11"/>
  <c r="B52" i="11"/>
  <c r="F51" i="11"/>
  <c r="B51" i="11"/>
  <c r="F50" i="11"/>
  <c r="B50" i="11"/>
  <c r="F49" i="11"/>
  <c r="B49" i="11"/>
  <c r="F48" i="11"/>
  <c r="B48" i="11"/>
  <c r="F47" i="11"/>
  <c r="B47" i="11"/>
  <c r="F46" i="11"/>
  <c r="B46" i="11"/>
  <c r="F45" i="11"/>
  <c r="B45" i="11"/>
  <c r="F44" i="11"/>
  <c r="B44" i="11"/>
  <c r="F43" i="11"/>
  <c r="B43" i="11"/>
  <c r="F42" i="11"/>
  <c r="B42" i="11"/>
  <c r="F41" i="11"/>
  <c r="B41" i="11"/>
  <c r="F40" i="11"/>
  <c r="B40" i="11"/>
  <c r="F39" i="11"/>
  <c r="B39" i="11"/>
  <c r="F38" i="11"/>
  <c r="B38" i="11"/>
  <c r="F37" i="11"/>
  <c r="B37" i="11"/>
  <c r="F36" i="11"/>
  <c r="B36" i="11"/>
  <c r="F35" i="11"/>
  <c r="B35" i="11"/>
  <c r="F34" i="11"/>
  <c r="B34" i="11"/>
  <c r="F33" i="11"/>
  <c r="B33" i="11"/>
  <c r="F32" i="11"/>
  <c r="B32" i="11"/>
  <c r="F31" i="11"/>
  <c r="B31" i="11"/>
  <c r="F30" i="11"/>
  <c r="B30" i="11"/>
  <c r="F29" i="11"/>
  <c r="B29" i="11"/>
  <c r="F28" i="11"/>
  <c r="B28" i="11"/>
  <c r="F27" i="11"/>
  <c r="B27" i="11"/>
  <c r="B66" i="10"/>
  <c r="B66" i="9"/>
  <c r="B66" i="7"/>
  <c r="B66" i="6"/>
  <c r="B66" i="1"/>
  <c r="B66" i="8"/>
  <c r="F83" i="10"/>
  <c r="H83" i="10" s="1"/>
  <c r="H75" i="10"/>
  <c r="H79" i="10" s="1"/>
  <c r="F65" i="10"/>
  <c r="B65" i="10"/>
  <c r="F64" i="10"/>
  <c r="B64" i="10"/>
  <c r="F63" i="10"/>
  <c r="B63" i="10"/>
  <c r="F62" i="10"/>
  <c r="B62" i="10"/>
  <c r="F61" i="10"/>
  <c r="B61" i="10"/>
  <c r="F60" i="10"/>
  <c r="B60" i="10"/>
  <c r="F59" i="10"/>
  <c r="B59" i="10"/>
  <c r="F58" i="10"/>
  <c r="B58" i="10"/>
  <c r="F57" i="10"/>
  <c r="B57" i="10"/>
  <c r="F56" i="10"/>
  <c r="B56" i="10"/>
  <c r="F55" i="10"/>
  <c r="B55" i="10"/>
  <c r="F54" i="10"/>
  <c r="B54" i="10"/>
  <c r="F53" i="10"/>
  <c r="B53" i="10"/>
  <c r="F52" i="10"/>
  <c r="B52" i="10"/>
  <c r="F51" i="10"/>
  <c r="B51" i="10"/>
  <c r="F50" i="10"/>
  <c r="B50" i="10"/>
  <c r="F49" i="10"/>
  <c r="B49" i="10"/>
  <c r="F48" i="10"/>
  <c r="B48" i="10"/>
  <c r="F47" i="10"/>
  <c r="B47" i="10"/>
  <c r="F46" i="10"/>
  <c r="B46" i="10"/>
  <c r="F45" i="10"/>
  <c r="B45" i="10"/>
  <c r="F44" i="10"/>
  <c r="B44" i="10"/>
  <c r="F43" i="10"/>
  <c r="B43" i="10"/>
  <c r="F42" i="10"/>
  <c r="B42" i="10"/>
  <c r="F41" i="10"/>
  <c r="B41" i="10"/>
  <c r="F40" i="10"/>
  <c r="B40" i="10"/>
  <c r="F39" i="10"/>
  <c r="B39" i="10"/>
  <c r="F38" i="10"/>
  <c r="B38" i="10"/>
  <c r="F37" i="10"/>
  <c r="B37" i="10"/>
  <c r="F36" i="10"/>
  <c r="B36" i="10"/>
  <c r="F35" i="10"/>
  <c r="B35" i="10"/>
  <c r="F34" i="10"/>
  <c r="B34" i="10"/>
  <c r="F33" i="10"/>
  <c r="B33" i="10"/>
  <c r="F32" i="10"/>
  <c r="B32" i="10"/>
  <c r="F31" i="10"/>
  <c r="B31" i="10"/>
  <c r="F30" i="10"/>
  <c r="B30" i="10"/>
  <c r="F29" i="10"/>
  <c r="B29" i="10"/>
  <c r="F28" i="10"/>
  <c r="B28" i="10"/>
  <c r="F27" i="10"/>
  <c r="B27" i="10"/>
  <c r="F83" i="9"/>
  <c r="H83" i="9" s="1"/>
  <c r="H75" i="9"/>
  <c r="H79" i="9" s="1"/>
  <c r="F65" i="9"/>
  <c r="B65" i="9"/>
  <c r="F64" i="9"/>
  <c r="B64" i="9"/>
  <c r="F63" i="9"/>
  <c r="B63" i="9"/>
  <c r="F62" i="9"/>
  <c r="B62" i="9"/>
  <c r="F61" i="9"/>
  <c r="B61" i="9"/>
  <c r="F60" i="9"/>
  <c r="B60" i="9"/>
  <c r="F59" i="9"/>
  <c r="B59" i="9"/>
  <c r="F58" i="9"/>
  <c r="B58" i="9"/>
  <c r="F57" i="9"/>
  <c r="B57" i="9"/>
  <c r="F56" i="9"/>
  <c r="B56" i="9"/>
  <c r="F55" i="9"/>
  <c r="B55" i="9"/>
  <c r="F54" i="9"/>
  <c r="B54" i="9"/>
  <c r="F53" i="9"/>
  <c r="B53" i="9"/>
  <c r="F52" i="9"/>
  <c r="B52" i="9"/>
  <c r="F51" i="9"/>
  <c r="B51" i="9"/>
  <c r="F50" i="9"/>
  <c r="B50" i="9"/>
  <c r="F49" i="9"/>
  <c r="B49" i="9"/>
  <c r="F48" i="9"/>
  <c r="B48" i="9"/>
  <c r="F47" i="9"/>
  <c r="B47" i="9"/>
  <c r="F46" i="9"/>
  <c r="B46" i="9"/>
  <c r="F45" i="9"/>
  <c r="B45" i="9"/>
  <c r="F44" i="9"/>
  <c r="B44" i="9"/>
  <c r="F43" i="9"/>
  <c r="B43" i="9"/>
  <c r="F42" i="9"/>
  <c r="B42" i="9"/>
  <c r="F41" i="9"/>
  <c r="B41" i="9"/>
  <c r="F40" i="9"/>
  <c r="B40" i="9"/>
  <c r="F39" i="9"/>
  <c r="B39" i="9"/>
  <c r="F38" i="9"/>
  <c r="B38" i="9"/>
  <c r="F37" i="9"/>
  <c r="B37" i="9"/>
  <c r="F36" i="9"/>
  <c r="B36" i="9"/>
  <c r="F35" i="9"/>
  <c r="B35" i="9"/>
  <c r="F34" i="9"/>
  <c r="B34" i="9"/>
  <c r="F33" i="9"/>
  <c r="B33" i="9"/>
  <c r="F32" i="9"/>
  <c r="B32" i="9"/>
  <c r="F31" i="9"/>
  <c r="B31" i="9"/>
  <c r="F30" i="9"/>
  <c r="B30" i="9"/>
  <c r="F29" i="9"/>
  <c r="B29" i="9"/>
  <c r="F28" i="9"/>
  <c r="B28" i="9"/>
  <c r="F27" i="9"/>
  <c r="B27" i="9"/>
  <c r="H75" i="8"/>
  <c r="H79" i="8" s="1"/>
  <c r="F83" i="8"/>
  <c r="H83" i="8" s="1"/>
  <c r="F65" i="8"/>
  <c r="B65" i="8"/>
  <c r="F64" i="8"/>
  <c r="B64" i="8"/>
  <c r="F63" i="8"/>
  <c r="B63" i="8"/>
  <c r="F62" i="8"/>
  <c r="B62" i="8"/>
  <c r="F61" i="8"/>
  <c r="B61" i="8"/>
  <c r="F60" i="8"/>
  <c r="B60" i="8"/>
  <c r="F59" i="8"/>
  <c r="B59" i="8"/>
  <c r="F58" i="8"/>
  <c r="B58" i="8"/>
  <c r="F57" i="8"/>
  <c r="B57" i="8"/>
  <c r="F56" i="8"/>
  <c r="B56" i="8"/>
  <c r="F55" i="8"/>
  <c r="B55" i="8"/>
  <c r="F54" i="8"/>
  <c r="B54" i="8"/>
  <c r="F53" i="8"/>
  <c r="B53" i="8"/>
  <c r="F52" i="8"/>
  <c r="B52" i="8"/>
  <c r="F51" i="8"/>
  <c r="B51" i="8"/>
  <c r="F50" i="8"/>
  <c r="B50" i="8"/>
  <c r="F49" i="8"/>
  <c r="B49" i="8"/>
  <c r="F48" i="8"/>
  <c r="B48" i="8"/>
  <c r="F47" i="8"/>
  <c r="B47" i="8"/>
  <c r="F46" i="8"/>
  <c r="B46" i="8"/>
  <c r="F45" i="8"/>
  <c r="B45" i="8"/>
  <c r="F44" i="8"/>
  <c r="B44" i="8"/>
  <c r="F43" i="8"/>
  <c r="B43" i="8"/>
  <c r="F42" i="8"/>
  <c r="B42" i="8"/>
  <c r="F41" i="8"/>
  <c r="B41" i="8"/>
  <c r="F40" i="8"/>
  <c r="B40" i="8"/>
  <c r="F39" i="8"/>
  <c r="B39" i="8"/>
  <c r="F38" i="8"/>
  <c r="B38" i="8"/>
  <c r="F37" i="8"/>
  <c r="B37" i="8"/>
  <c r="F36" i="8"/>
  <c r="B36" i="8"/>
  <c r="F35" i="8"/>
  <c r="B35" i="8"/>
  <c r="F34" i="8"/>
  <c r="B34" i="8"/>
  <c r="F33" i="8"/>
  <c r="B33" i="8"/>
  <c r="F32" i="8"/>
  <c r="B32" i="8"/>
  <c r="F31" i="8"/>
  <c r="B31" i="8"/>
  <c r="F30" i="8"/>
  <c r="B30" i="8"/>
  <c r="F29" i="8"/>
  <c r="B29" i="8"/>
  <c r="F28" i="8"/>
  <c r="B28" i="8"/>
  <c r="F27" i="8"/>
  <c r="B27" i="8"/>
  <c r="F83" i="7"/>
  <c r="H83" i="7" s="1"/>
  <c r="H75" i="7"/>
  <c r="H79" i="7" s="1"/>
  <c r="F81" i="7" s="1"/>
  <c r="H84" i="7" s="1"/>
  <c r="F65" i="7"/>
  <c r="B65" i="7"/>
  <c r="F64" i="7"/>
  <c r="B64" i="7"/>
  <c r="F63" i="7"/>
  <c r="B63" i="7"/>
  <c r="F62" i="7"/>
  <c r="B62" i="7"/>
  <c r="F61" i="7"/>
  <c r="B61" i="7"/>
  <c r="F60" i="7"/>
  <c r="B60" i="7"/>
  <c r="F59" i="7"/>
  <c r="B59" i="7"/>
  <c r="F58" i="7"/>
  <c r="B58" i="7"/>
  <c r="F57" i="7"/>
  <c r="B57" i="7"/>
  <c r="F56" i="7"/>
  <c r="B56" i="7"/>
  <c r="F55" i="7"/>
  <c r="B55" i="7"/>
  <c r="F54" i="7"/>
  <c r="B54" i="7"/>
  <c r="F53" i="7"/>
  <c r="B53" i="7"/>
  <c r="F52" i="7"/>
  <c r="B52" i="7"/>
  <c r="F51" i="7"/>
  <c r="B51" i="7"/>
  <c r="F50" i="7"/>
  <c r="B50" i="7"/>
  <c r="F49" i="7"/>
  <c r="B49" i="7"/>
  <c r="F48" i="7"/>
  <c r="B48" i="7"/>
  <c r="F47" i="7"/>
  <c r="B47" i="7"/>
  <c r="F46" i="7"/>
  <c r="B46" i="7"/>
  <c r="F45" i="7"/>
  <c r="B45" i="7"/>
  <c r="F44" i="7"/>
  <c r="B44" i="7"/>
  <c r="F43" i="7"/>
  <c r="B43" i="7"/>
  <c r="F42" i="7"/>
  <c r="B42" i="7"/>
  <c r="F41" i="7"/>
  <c r="B41" i="7"/>
  <c r="F40" i="7"/>
  <c r="B40" i="7"/>
  <c r="F39" i="7"/>
  <c r="B39" i="7"/>
  <c r="F38" i="7"/>
  <c r="B38" i="7"/>
  <c r="F37" i="7"/>
  <c r="B37" i="7"/>
  <c r="F36" i="7"/>
  <c r="B36" i="7"/>
  <c r="F35" i="7"/>
  <c r="B35" i="7"/>
  <c r="F34" i="7"/>
  <c r="B34" i="7"/>
  <c r="F33" i="7"/>
  <c r="B33" i="7"/>
  <c r="F32" i="7"/>
  <c r="B32" i="7"/>
  <c r="F31" i="7"/>
  <c r="B31" i="7"/>
  <c r="F30" i="7"/>
  <c r="B30" i="7"/>
  <c r="F29" i="7"/>
  <c r="B29" i="7"/>
  <c r="F28" i="7"/>
  <c r="B28" i="7"/>
  <c r="F27" i="7"/>
  <c r="B27" i="7"/>
  <c r="F83" i="6"/>
  <c r="H83" i="6" s="1"/>
  <c r="H75" i="6"/>
  <c r="H79" i="6" s="1"/>
  <c r="F65" i="6"/>
  <c r="B65" i="6"/>
  <c r="F64" i="6"/>
  <c r="B64" i="6"/>
  <c r="F63" i="6"/>
  <c r="B63" i="6"/>
  <c r="F62" i="6"/>
  <c r="B62" i="6"/>
  <c r="F61" i="6"/>
  <c r="B61" i="6"/>
  <c r="F60" i="6"/>
  <c r="B60" i="6"/>
  <c r="F59" i="6"/>
  <c r="B59" i="6"/>
  <c r="F58" i="6"/>
  <c r="B58" i="6"/>
  <c r="F57" i="6"/>
  <c r="B57" i="6"/>
  <c r="F56" i="6"/>
  <c r="B56" i="6"/>
  <c r="F55" i="6"/>
  <c r="B55" i="6"/>
  <c r="F54" i="6"/>
  <c r="B54" i="6"/>
  <c r="F53" i="6"/>
  <c r="B53" i="6"/>
  <c r="F52" i="6"/>
  <c r="B52" i="6"/>
  <c r="F51" i="6"/>
  <c r="B51" i="6"/>
  <c r="F50" i="6"/>
  <c r="B50" i="6"/>
  <c r="F49" i="6"/>
  <c r="B49" i="6"/>
  <c r="F48" i="6"/>
  <c r="B48" i="6"/>
  <c r="F47" i="6"/>
  <c r="B47" i="6"/>
  <c r="F46" i="6"/>
  <c r="B46" i="6"/>
  <c r="F45" i="6"/>
  <c r="B45" i="6"/>
  <c r="F44" i="6"/>
  <c r="B44" i="6"/>
  <c r="F43" i="6"/>
  <c r="B43" i="6"/>
  <c r="F42" i="6"/>
  <c r="B42" i="6"/>
  <c r="F41" i="6"/>
  <c r="B41" i="6"/>
  <c r="F40" i="6"/>
  <c r="B40" i="6"/>
  <c r="F39" i="6"/>
  <c r="B39" i="6"/>
  <c r="F38" i="6"/>
  <c r="B38" i="6"/>
  <c r="F37" i="6"/>
  <c r="B37" i="6"/>
  <c r="F36" i="6"/>
  <c r="B36" i="6"/>
  <c r="F35" i="6"/>
  <c r="B35" i="6"/>
  <c r="F34" i="6"/>
  <c r="B34" i="6"/>
  <c r="F33" i="6"/>
  <c r="B33" i="6"/>
  <c r="F32" i="6"/>
  <c r="B32" i="6"/>
  <c r="F31" i="6"/>
  <c r="B31" i="6"/>
  <c r="F30" i="6"/>
  <c r="B30" i="6"/>
  <c r="F29" i="6"/>
  <c r="B29" i="6"/>
  <c r="F28" i="6"/>
  <c r="B28" i="6"/>
  <c r="F27" i="6"/>
  <c r="B27" i="6"/>
  <c r="H79" i="5"/>
  <c r="F81" i="15" l="1"/>
  <c r="H84" i="15" s="1"/>
  <c r="H85" i="15" s="1"/>
  <c r="F81" i="14"/>
  <c r="H84" i="14" s="1"/>
  <c r="H85" i="14" s="1"/>
  <c r="F81" i="13"/>
  <c r="H84" i="13" s="1"/>
  <c r="H85" i="13" s="1"/>
  <c r="F81" i="12"/>
  <c r="H84" i="12" s="1"/>
  <c r="H85" i="12" s="1"/>
  <c r="F81" i="11"/>
  <c r="H84" i="11" s="1"/>
  <c r="H85" i="11" s="1"/>
  <c r="F81" i="10"/>
  <c r="H84" i="10" s="1"/>
  <c r="H85" i="10" s="1"/>
  <c r="F81" i="9"/>
  <c r="H84" i="9" s="1"/>
  <c r="H85" i="9" s="1"/>
  <c r="F81" i="8"/>
  <c r="H84" i="8" s="1"/>
  <c r="H85" i="8" s="1"/>
  <c r="H85" i="7"/>
  <c r="F81" i="6"/>
  <c r="H84" i="6" s="1"/>
  <c r="H85" i="6" s="1"/>
  <c r="B30" i="1"/>
  <c r="B29" i="1"/>
  <c r="B28" i="1"/>
  <c r="B27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83" i="1" l="1"/>
  <c r="H83" i="1" s="1"/>
  <c r="H75" i="1"/>
  <c r="H79" i="1" s="1"/>
  <c r="F81" i="1" l="1"/>
  <c r="H84" i="1" s="1"/>
  <c r="H85" i="1" s="1"/>
</calcChain>
</file>

<file path=xl/sharedStrings.xml><?xml version="1.0" encoding="utf-8"?>
<sst xmlns="http://schemas.openxmlformats.org/spreadsheetml/2006/main" count="11160" uniqueCount="5281">
  <si>
    <t>Registered Name:</t>
  </si>
  <si>
    <t>TIN:</t>
  </si>
  <si>
    <t>Business Address:</t>
  </si>
  <si>
    <t>101 Connecticut cor Missouri St. Greenhills San Juan</t>
  </si>
  <si>
    <t>ITEM CODE</t>
  </si>
  <si>
    <t>ITEM DESCRIPTION</t>
  </si>
  <si>
    <t>UOM</t>
  </si>
  <si>
    <t>PK</t>
  </si>
  <si>
    <t>TR</t>
  </si>
  <si>
    <t>Total Sales (VAT Incluive)</t>
  </si>
  <si>
    <t>Vatables Sales</t>
  </si>
  <si>
    <t>VAT</t>
  </si>
  <si>
    <t>Zero-Rated Sales</t>
  </si>
  <si>
    <t>VAT-Excempt Sales</t>
  </si>
  <si>
    <t>Cara Mia Sales and Services Inc.</t>
  </si>
  <si>
    <t>009-062-877</t>
  </si>
  <si>
    <t>PC</t>
  </si>
  <si>
    <t>CS</t>
  </si>
  <si>
    <t>CODE</t>
  </si>
  <si>
    <t>POSTING GROUP</t>
  </si>
  <si>
    <t>DESCRIPTION</t>
  </si>
  <si>
    <t>CM0001</t>
  </si>
  <si>
    <t>FS</t>
  </si>
  <si>
    <t>CLING WRAP, 30 METERS PER ROLL</t>
  </si>
  <si>
    <t>RL</t>
  </si>
  <si>
    <t>CM0002</t>
  </si>
  <si>
    <t>BAG, GARBAGE, CLEAR, 40" X 37" ( 45 MICRONS )</t>
  </si>
  <si>
    <t>CM0003</t>
  </si>
  <si>
    <t>DISPOSABLE, PLASTIC GLOVES, LARGE, 100 PCS XPACK</t>
  </si>
  <si>
    <t>CM0004</t>
  </si>
  <si>
    <t>BAG, LDPE,  3 X 10, WHITE HORSE</t>
  </si>
  <si>
    <t>CM0005</t>
  </si>
  <si>
    <t>PAPER, GREASEPROOF SHEET, 24” X 36", 34GSM 480PC/REAM</t>
  </si>
  <si>
    <t>RM</t>
  </si>
  <si>
    <t>CM0007</t>
  </si>
  <si>
    <t>DRINKING STRAW,PS, RED, 1000 PCS X 1 PACK(1KG)</t>
  </si>
  <si>
    <t>CM0009</t>
  </si>
  <si>
    <t>TOOTHPICK, INDIVIDUALLY WRAPPED, 1000 PC/PK, PK</t>
  </si>
  <si>
    <t>CM0011</t>
  </si>
  <si>
    <t>DISPOSABLE PLASTIC SPOON, BLACK, 25 PCS X 100 PK X 1CS</t>
  </si>
  <si>
    <t>CM0012</t>
  </si>
  <si>
    <t>DISPOSABLE PLASTIC FORK, BLACK,  25 PCS X 100 PK X 1 CS</t>
  </si>
  <si>
    <t>CM0013</t>
  </si>
  <si>
    <t>FUEL</t>
  </si>
  <si>
    <t>GAS - LPG 50KG (GASUL)</t>
  </si>
  <si>
    <t>TK</t>
  </si>
  <si>
    <t>CM0014</t>
  </si>
  <si>
    <t>TISSUE, SCOTT BATHROOM HYGENIC 48 PK X 1CS</t>
  </si>
  <si>
    <t>CM0015</t>
  </si>
  <si>
    <t>CLEANING, SANITIZER, SANIPLUS PQ4 X 4 L/CS, L</t>
  </si>
  <si>
    <t>LT</t>
  </si>
  <si>
    <t>CM0016</t>
  </si>
  <si>
    <t>CLEANING, HAND SANITIZER, (10X500ML), L</t>
  </si>
  <si>
    <t>CM0020</t>
  </si>
  <si>
    <t>CLEANING, LIQUID HAND SOAP,10 X 500ML/CS, L</t>
  </si>
  <si>
    <t>CM0021</t>
  </si>
  <si>
    <t>CLEANING-MOP HANDLES</t>
  </si>
  <si>
    <t>CM0022</t>
  </si>
  <si>
    <t>CLEANING-MOP HEAD</t>
  </si>
  <si>
    <t>CM0023</t>
  </si>
  <si>
    <t>CLEANING-STRIPPING PAD, HEAVY DUTY, 3.27in x 4in</t>
  </si>
  <si>
    <t>CM0024</t>
  </si>
  <si>
    <t>CLEANING, YELLOW SCRUB SPONGE, 2 in 1, 3in x 3.75in</t>
  </si>
  <si>
    <t>CM0027</t>
  </si>
  <si>
    <t>CLEANING D,ALL STAR PREMIUM-BLUE,120SC*30ML/BX, BX</t>
  </si>
  <si>
    <t>BX</t>
  </si>
  <si>
    <t>CM0028</t>
  </si>
  <si>
    <t>OTHERS, SEDIMENT MICROFIBER 5MX10</t>
  </si>
  <si>
    <t>CM0029</t>
  </si>
  <si>
    <t>OTHERS, SEDIMENT MICROFIBER 5MX20</t>
  </si>
  <si>
    <t>CM0030</t>
  </si>
  <si>
    <t>OTHERS-EVERPURE CARTRIDGE EV9612-05</t>
  </si>
  <si>
    <t>CM0033</t>
  </si>
  <si>
    <t>NAPKIN,TABLE,WHT,AMICI,1P,60PKX60SHT,10X12.75</t>
  </si>
  <si>
    <t>CM0034</t>
  </si>
  <si>
    <t>DISPOSABLE, BEND STRAW, WHITE, WRAP, 8", 250X40/CS</t>
  </si>
  <si>
    <t>CM0035</t>
  </si>
  <si>
    <t>COFFEE STIRRER, BLCK-WHITE STRIPE, 1000PC/KILO</t>
  </si>
  <si>
    <t>CM0036</t>
  </si>
  <si>
    <t>PLASTIC, SPOON, GELATO</t>
  </si>
  <si>
    <t>CM0037</t>
  </si>
  <si>
    <t>CLEANING, TOILET&amp;BOWL CLEANER,(4X4L), L</t>
  </si>
  <si>
    <t>CM0038</t>
  </si>
  <si>
    <t>OTHERS-HAND TOWEL, BLUE</t>
  </si>
  <si>
    <t>CM0039</t>
  </si>
  <si>
    <t>OTHERS-HAND TOWEL, PINK</t>
  </si>
  <si>
    <t>CM0040</t>
  </si>
  <si>
    <t>OTHERS-HAND TOWEL, YELLOW</t>
  </si>
  <si>
    <t>CM0041</t>
  </si>
  <si>
    <t>OTHERS-HAND TOWEL, GREEN</t>
  </si>
  <si>
    <t>CM0042</t>
  </si>
  <si>
    <t>DETERGENT, FOR DISHWASHER, EXEL WASH, 20L/CONT., L</t>
  </si>
  <si>
    <t>CM0043</t>
  </si>
  <si>
    <t>ADDITIVE, FOR DISHWASHER, EXEL RINSE, 20L/CONT., L</t>
  </si>
  <si>
    <t>CM0044</t>
  </si>
  <si>
    <t>NAPKIN, TABLE,WHT, BEST CHOICE, 5PK/CS</t>
  </si>
  <si>
    <t>CM0046</t>
  </si>
  <si>
    <t>NAPKIN, AMICI, TABLE, 2PLY 17"X17", 40PCS/PCK, 54PCKS/CASE</t>
  </si>
  <si>
    <t>CM0048</t>
  </si>
  <si>
    <t>DISPOSABLE,PAPER TAB PLACE MAT, AMICI, 1000PCS/PCK</t>
  </si>
  <si>
    <t>CM0049</t>
  </si>
  <si>
    <t>DISPOSABLE, VINYL GLOVES MEDIUM 100PCS/PCK,PC</t>
  </si>
  <si>
    <t>CM0050</t>
  </si>
  <si>
    <t>FIREWOOD, 20PCS/BUNDLE, PC</t>
  </si>
  <si>
    <t>CM0051</t>
  </si>
  <si>
    <t>CRATES,FIREWOOD, KG</t>
  </si>
  <si>
    <t>KG</t>
  </si>
  <si>
    <t>CM0052</t>
  </si>
  <si>
    <t>PAPER BAG #12 (THICK),L=7 X W=13.5 X BOTTOM=4,PC</t>
  </si>
  <si>
    <t>CM0054</t>
  </si>
  <si>
    <t>CLEANING FOR FLOOR, 7 STAR PLUS, 4 X 4 L/CS, L</t>
  </si>
  <si>
    <t>CM0055</t>
  </si>
  <si>
    <t>WOODEN, SPOON, CLASS B</t>
  </si>
  <si>
    <t>CM0056</t>
  </si>
  <si>
    <t>GARBAGE BAG 22 X 24 INCHES, CLEAR,P.E,100PCS/PK,PC</t>
  </si>
  <si>
    <t>CM0057</t>
  </si>
  <si>
    <t>WHITE PAPER, HAND TOWEL 200X200MM,1PLY,150 PCS/PCK, 30PCKS/CASE</t>
  </si>
  <si>
    <t>CM0058</t>
  </si>
  <si>
    <t>PAPER, KIDDIE PLACEMAT, 380x266MM, BOOK#40(59GSM), PC</t>
  </si>
  <si>
    <t>CM0059</t>
  </si>
  <si>
    <t>BAG, BROWN BAG#3, 4.5=L X 3=W X 8.5=H, PC</t>
  </si>
  <si>
    <t>CM0060</t>
  </si>
  <si>
    <t>BAG, BROWN BAG#5, 5.25=L X 10.75=W X 3.25=H, PC</t>
  </si>
  <si>
    <t>CM0061</t>
  </si>
  <si>
    <t>BAG, TAKE OUT BAG#2, 8.5=L X 17.5=W X 4.75=H, PC</t>
  </si>
  <si>
    <t>CM0062</t>
  </si>
  <si>
    <t>TISSUE, TISSUE COASTER ROUND W/O PRINT, PC</t>
  </si>
  <si>
    <t>CM0065</t>
  </si>
  <si>
    <t>DISPOSABLE, HAIRNET, 100PCS/BOX</t>
  </si>
  <si>
    <t>CM0066</t>
  </si>
  <si>
    <t>AIR FRESHENER, REFILL, SEVEN FRESH, 12CANS/CS</t>
  </si>
  <si>
    <t>CN</t>
  </si>
  <si>
    <t>CM0071</t>
  </si>
  <si>
    <t>POWDER DETERGENT, ARIEL, 1KG/PK, KG</t>
  </si>
  <si>
    <t>CM0072</t>
  </si>
  <si>
    <t>CLEANING, MR ACTIV ULTRA ANTIBAC(LEMON), 4GL/CS</t>
  </si>
  <si>
    <t>GL</t>
  </si>
  <si>
    <t>CM0073</t>
  </si>
  <si>
    <t>NAPKIN, CARAMIA, 1PLY 13"X13", 100PCS/PCK, 50PCKS/CASE</t>
  </si>
  <si>
    <t>CM0079</t>
  </si>
  <si>
    <t>PAPERBAG,W/ CARAMIA LOGO#3,279Lx145Wx344Hmm,PC</t>
  </si>
  <si>
    <t>CM0080</t>
  </si>
  <si>
    <t>PAPERBAG,W/ CARAMIA LOGO#25,209Lx126Wx344Hmm,PC</t>
  </si>
  <si>
    <t>CM0082</t>
  </si>
  <si>
    <t>SANITIZER, SODIUM HYPOCHLORITE SOLUTION</t>
  </si>
  <si>
    <t>CM0083</t>
  </si>
  <si>
    <t>GAS, BUTANE, KG</t>
  </si>
  <si>
    <t>CM0112</t>
  </si>
  <si>
    <t>PAPER, LINER, 2OZ. PLAIN WHITE</t>
  </si>
  <si>
    <t>CM0116</t>
  </si>
  <si>
    <t>COFFEE STIRRER, BLACK 6", 850PC/KG</t>
  </si>
  <si>
    <t>CM0118</t>
  </si>
  <si>
    <t>DISPOSABLE, PAPER TAB PLACEMAT, CARAMIA, 1000PCS/PCK</t>
  </si>
  <si>
    <t>CM0119</t>
  </si>
  <si>
    <t>DISPOSABLE, VINYL GLOVES, SMALL 100 PCS/PCK</t>
  </si>
  <si>
    <t>CM0120</t>
  </si>
  <si>
    <t>DISPOSABLE, VINYL GLOVES, MEDIUM 100 PCS/PCK</t>
  </si>
  <si>
    <t>CM0121</t>
  </si>
  <si>
    <t>DISPOSABLE, PAPER STRAW, WHITE W/ WRAP, 100'S</t>
  </si>
  <si>
    <t>CM0122</t>
  </si>
  <si>
    <t>BAMBOO, SKEWER 12CM, 100’S/PCK</t>
  </si>
  <si>
    <t>CM0123</t>
  </si>
  <si>
    <t>DISPOSABLE, ALL PURPOSE  POLY-GLOVES FREE SIZE - 100PCS / PACK</t>
  </si>
  <si>
    <t>CM0124</t>
  </si>
  <si>
    <t>DISPOSABLE, FORK 6in, CORN STARCH BASE</t>
  </si>
  <si>
    <t>CM0125</t>
  </si>
  <si>
    <t>DISPOSABLE, SPOON 6in, CORN STARCH BASE</t>
  </si>
  <si>
    <t>CM0126</t>
  </si>
  <si>
    <t>PAPER, CAKE SLICE CONTAINER, CB12, 110Lx100Wx75Hmm</t>
  </si>
  <si>
    <t>CM0127</t>
  </si>
  <si>
    <t>JUMBO ROLL TISSUE (12ROLLS/CASE)</t>
  </si>
  <si>
    <t>CM0128</t>
  </si>
  <si>
    <t>CLEANING, HAND SANITIZER 4X5L</t>
  </si>
  <si>
    <t>CM0129</t>
  </si>
  <si>
    <t>POS JOURNAL TAPE 76x70MM, 1 PLY</t>
  </si>
  <si>
    <t>CM0130</t>
  </si>
  <si>
    <t>GENUINE EPSON BRAND ERC-38 RIBBON, BLACK</t>
  </si>
  <si>
    <t>CM0131</t>
  </si>
  <si>
    <t>DISPOSABLE PLASTIC, BEND LONG STRAW, WHITE, WRAP, 24CM, 100PC/PACK, 100PACKS/CASE</t>
  </si>
  <si>
    <t>CM0132</t>
  </si>
  <si>
    <t xml:space="preserve">ACRYLIC LABEL STAND 2in(L) X .75in (W) X 1.5in (H) </t>
  </si>
  <si>
    <t>CM0133</t>
  </si>
  <si>
    <t>ACRYLIC TIP BOX DIMENSION 6in(L) x 1 1/12in (W) X 10in (H)</t>
  </si>
  <si>
    <t>CM0134</t>
  </si>
  <si>
    <t xml:space="preserve">GELATO PICK, FERRERO, 3.2" x 6.2", etching print on 3 mm </t>
  </si>
  <si>
    <t>CM0135</t>
  </si>
  <si>
    <t xml:space="preserve">GELATO PICK, COOKIE DOUGH, 3.2" x 6.2", etching print on 3 mm </t>
  </si>
  <si>
    <t>CM0136</t>
  </si>
  <si>
    <t xml:space="preserve">GELATO PICK, TURTLE PIE, 3.2" x 6.2", etching print on 3 mm </t>
  </si>
  <si>
    <t>CM0137</t>
  </si>
  <si>
    <t xml:space="preserve">GELATO PICK, BLUEBERRY CHEESECAKE, 3.2" x 6.2", etching print on 3 mm </t>
  </si>
  <si>
    <t>CM0138</t>
  </si>
  <si>
    <t xml:space="preserve">GELATO PICK, MANGO CREAM PIE, 3.2" x 6.2", etching print on 3 mm </t>
  </si>
  <si>
    <t>CM0139</t>
  </si>
  <si>
    <t xml:space="preserve">GELATO PICK, COOKIES N CREAM, 3.2" x 6.2", etching print on 3 mm </t>
  </si>
  <si>
    <t>CM0140</t>
  </si>
  <si>
    <t xml:space="preserve">GELATO PICK, PISTACHIO, 3.2" x 6.2", etching print on 3 mm </t>
  </si>
  <si>
    <t>CM0141</t>
  </si>
  <si>
    <t xml:space="preserve">GELATO PICK, UBE  W/ WHITE CHOCO, 3.2" x 6.2", etching print on 3 mm </t>
  </si>
  <si>
    <t>CM0142</t>
  </si>
  <si>
    <t xml:space="preserve">GELATO PICK, CHOCOLATE THERAPY, 3.2" x 6.2", etching print on 3 mm </t>
  </si>
  <si>
    <t>CM0143</t>
  </si>
  <si>
    <t xml:space="preserve">GELATO PICK, COFFEE MUDSLIDE, 3.2" x 6.2", etching print on 3 mm </t>
  </si>
  <si>
    <t>CM0144</t>
  </si>
  <si>
    <t xml:space="preserve">GELATO PICK, MINT CHOCOLATE, 3.2" x 6.2", etching print on 3 mm </t>
  </si>
  <si>
    <t>CM0145</t>
  </si>
  <si>
    <t xml:space="preserve">GELATO PICK, STRAWBERRY SUPREME, 3.2" x 6.2", etching print on 3 mm </t>
  </si>
  <si>
    <t>CM0146</t>
  </si>
  <si>
    <t>CARAMIA PINK STRAW 23CM for U-CUP</t>
  </si>
  <si>
    <t>CM0147</t>
  </si>
  <si>
    <t>PP CAKE KNIFE INDIVIDUALLY WRAPPED - BLUSH PEACH</t>
  </si>
  <si>
    <t>CM0148</t>
  </si>
  <si>
    <t>GELATO CUP RISER, 3MM SINTRA, SPRAY PAINT FISNISHED, TEAL</t>
  </si>
  <si>
    <t>CM0149</t>
  </si>
  <si>
    <t>POS THERMAL PAPER ROLL 80MM X 70M, 1 PLY</t>
  </si>
  <si>
    <t>CM0150</t>
  </si>
  <si>
    <t>DISPOSABLE PLASTIC SPOON, BLACK, SKZ BRAND, 25 PCS X 100 PK X 1CS</t>
  </si>
  <si>
    <t>CM0151</t>
  </si>
  <si>
    <t>DISPOSABLE PLASTIC FORK, BLACK, SKZ BRAND, 25 PCS X 100 PK X 1CS</t>
  </si>
  <si>
    <t>CM0152</t>
  </si>
  <si>
    <t>THERMAL TRANSFER STICKER, SYNTHETIC YUPO, 23MM X (L)16MM 16,200 PCS./ROLL w/ free resin ribbon</t>
  </si>
  <si>
    <t>CM0153</t>
  </si>
  <si>
    <t>RIBBON, BLACK,# CUT EDGE RIBBON, 50YARDS/RL</t>
  </si>
  <si>
    <t>CM0154</t>
  </si>
  <si>
    <t>GELATO PICK, MANGO PEACH CARAMEL, 3.2" x 6.2"</t>
  </si>
  <si>
    <t>CM0155</t>
  </si>
  <si>
    <t>GELATO PICK, MALTESERS, 3.2" x 6.2"</t>
  </si>
  <si>
    <t>CM0156</t>
  </si>
  <si>
    <t>PLASTIC SPOON, GELATO, BLACK, ALCAS approx. 690 pcs/pack</t>
  </si>
  <si>
    <t>CM0157</t>
  </si>
  <si>
    <t>CARAMIA TOTE BAG 14X4X14.5" HEAVY OXFORD FABRIC, KHAKI</t>
  </si>
  <si>
    <t>CM0158</t>
  </si>
  <si>
    <t>CARAMIA TOTE BAG 14X4X14.5" HEAVY OXFORD FABRIC, GRAY</t>
  </si>
  <si>
    <t>CM0159</t>
  </si>
  <si>
    <t>SELF SEALING BAG #9 8X12" 1000'S</t>
  </si>
  <si>
    <t>FO0002</t>
  </si>
  <si>
    <t>FGO</t>
  </si>
  <si>
    <t>ITALIAN SAUSAGE, 10PCS</t>
  </si>
  <si>
    <t>FO0003</t>
  </si>
  <si>
    <t>PORK STEAK, 150G/PK</t>
  </si>
  <si>
    <t>FO0008</t>
  </si>
  <si>
    <t>WAFER, SANSRIVAL ROUND, PC</t>
  </si>
  <si>
    <t>FO0009</t>
  </si>
  <si>
    <t>WAFER, SANSRIVAL RECTANGLE, PC</t>
  </si>
  <si>
    <t>FO0012</t>
  </si>
  <si>
    <t>WHITE CHIFFON, 8" DIA, PC</t>
  </si>
  <si>
    <t>FO0013</t>
  </si>
  <si>
    <t>CHOCO CHIFFON, 8" DIA, PC</t>
  </si>
  <si>
    <t>FO0016</t>
  </si>
  <si>
    <t>MANGO PIE, PC</t>
  </si>
  <si>
    <t>FO0017</t>
  </si>
  <si>
    <t>WHITE CHIFFON SHEET, PC</t>
  </si>
  <si>
    <t>FO0023</t>
  </si>
  <si>
    <t>WAFER, SANSRIVAL SQUARE, PC</t>
  </si>
  <si>
    <t>FO0025</t>
  </si>
  <si>
    <t>CHOCO CHIFFON, 6" DIA, PC</t>
  </si>
  <si>
    <t>FO0026</t>
  </si>
  <si>
    <t>BUTTER CHOCOLATE BASECAKE, PC</t>
  </si>
  <si>
    <t>FO0027</t>
  </si>
  <si>
    <t>BAKED GRAHAM CRUST</t>
  </si>
  <si>
    <t>FO0028</t>
  </si>
  <si>
    <t>WAFER SANSRIVAL ROUND, PC</t>
  </si>
  <si>
    <t>FO0029</t>
  </si>
  <si>
    <t>CHOCOLATE, GRATED VAN HOUTEN 1/1KG</t>
  </si>
  <si>
    <t>FO0030</t>
  </si>
  <si>
    <t>GRATED CHOCOLATE OUTSOURCED, 1 KG/PK, KG</t>
  </si>
  <si>
    <t>FT0004</t>
  </si>
  <si>
    <t>FT</t>
  </si>
  <si>
    <t>COFFEE BEANS, MAURO ESPRESSO - C1121, 10/500GM</t>
  </si>
  <si>
    <t>FT0005</t>
  </si>
  <si>
    <t>SUGAR, STEVIA, SUGAR SUBSTITUTE, 100PCS/BX</t>
  </si>
  <si>
    <t>FT0006</t>
  </si>
  <si>
    <t>SUGAR SACHET, BROWN 7G, 100 PCS X 10 PK X 1CS</t>
  </si>
  <si>
    <t>FT0007</t>
  </si>
  <si>
    <t>SUGAR SACHET, WHITE 7G, 100PCS X 10 PK X 1 CS</t>
  </si>
  <si>
    <t>FT0008</t>
  </si>
  <si>
    <t>TEA, BLACK, LIPTON EARL GRAY 6BX/CASE</t>
  </si>
  <si>
    <t>FT0009</t>
  </si>
  <si>
    <t>TEA, ENGLISH BREAKFAST, LIPTON 6BX/CASE</t>
  </si>
  <si>
    <t>FT0010</t>
  </si>
  <si>
    <t>TEA, GREEN WITH GINGER, 1/20/2GM, BX</t>
  </si>
  <si>
    <t>FT0011</t>
  </si>
  <si>
    <t>TEA, GREEN, LIPTON 12BX/CASE</t>
  </si>
  <si>
    <t>FT0012</t>
  </si>
  <si>
    <t>COLA DRINK, 7 UP, 330ML, 24 CANS X 1 CS,CS</t>
  </si>
  <si>
    <t>FT0013</t>
  </si>
  <si>
    <t>COLA DRINK, 7 UP, BIB, 1/5GAL (BOX),BX</t>
  </si>
  <si>
    <t>FT0014</t>
  </si>
  <si>
    <t>COLA DRINK, MOUNTAIN DEW, 330ML, 24 CANS X 1 CS,CS</t>
  </si>
  <si>
    <t>FT0015</t>
  </si>
  <si>
    <t>COLA DRINK, MOUNTAIN DEW, BIB, 1/5GAL (BOX),BX</t>
  </si>
  <si>
    <t>FT0016</t>
  </si>
  <si>
    <t>COLA DRINK, PEPSI MAX, 1.5 L, 12 BT X 1CS,CS</t>
  </si>
  <si>
    <t>FT0017</t>
  </si>
  <si>
    <t>COLA DRINK, PEPSI MAX, 330ML, 24 CANS X 1 CS,CS</t>
  </si>
  <si>
    <t>FT0018</t>
  </si>
  <si>
    <t>COLA DRINK, PEPSI MAX, BIB, 1/5GAL (BOX),BX</t>
  </si>
  <si>
    <t>FT0019</t>
  </si>
  <si>
    <t>COLA DRINK, PEPSI MAX,330 ML, 12 BT X 1CS,CS</t>
  </si>
  <si>
    <t>FT0020</t>
  </si>
  <si>
    <t>COLA DRINK, PEPSI REGULAR, 1.5 L, 12 BT X 1CS,CS</t>
  </si>
  <si>
    <t>FT0021</t>
  </si>
  <si>
    <t>COLA DRINK, PEPSI REGULAR, 330ML, 24 CANS X 1 CS,CS</t>
  </si>
  <si>
    <t>FT0022</t>
  </si>
  <si>
    <t>COLA DRINK, REGULAR PEPSI, BIB, 1/5GAL (BOX),BX</t>
  </si>
  <si>
    <t>FT0023</t>
  </si>
  <si>
    <t>COLA DRINK, ROOT BEER MUG, 330ML, 24 CANS X 1 CS,CS</t>
  </si>
  <si>
    <t>FT0024</t>
  </si>
  <si>
    <t>COLA DRINK, ROOT BEER MUG, BIB, 1/5GAL (BOX),BX</t>
  </si>
  <si>
    <t>FT0025</t>
  </si>
  <si>
    <t>COLA DRINK,7 UP, 1.5 L, 12 BT X 1CS,CS</t>
  </si>
  <si>
    <t>FT0026</t>
  </si>
  <si>
    <t>ICED TEA, LIPTON, BIB, 1/5GAL (BOX),BX</t>
  </si>
  <si>
    <t>FT0027</t>
  </si>
  <si>
    <t>JUICE, ORANGE, TROPICANA JUICY PULP, 24/355ML</t>
  </si>
  <si>
    <t>FT0029</t>
  </si>
  <si>
    <t>BEER, SAN MIGUEL LIGHT, BOTTLE, 1/24/330ML, CS</t>
  </si>
  <si>
    <t>FT0030</t>
  </si>
  <si>
    <t>BEER, SAN MIGUEL PREMIUM, BOTTLE, 1/24/330ML, CS</t>
  </si>
  <si>
    <t>FT0031</t>
  </si>
  <si>
    <t>BEER, SAN MIGUEL REGULAR, BOTTLE, 1/24/330ML, CS</t>
  </si>
  <si>
    <t>FT0032</t>
  </si>
  <si>
    <t>WINE, WHITE ( BIANCO ), VINO DE TAVOLA, 12/1L, KG</t>
  </si>
  <si>
    <t>FT0033</t>
  </si>
  <si>
    <t>WINE. RED ( VIGNA), VINO DE TAVOLA, 12/1L, KG</t>
  </si>
  <si>
    <t>FT0035</t>
  </si>
  <si>
    <t>WINE, CITRA WHITE, 1/750ML, BT X 1 BT</t>
  </si>
  <si>
    <t>FT0036</t>
  </si>
  <si>
    <t>WINE, MARQUES DE CACERES CRIANZA, 750ML/BT</t>
  </si>
  <si>
    <t>BT</t>
  </si>
  <si>
    <t>FT0038</t>
  </si>
  <si>
    <t>WINE, NERO D' AVOLA SICILIA IGT(MANNARA), BT</t>
  </si>
  <si>
    <t>FT0041</t>
  </si>
  <si>
    <t>WINE, TERRA VEGA CAVERNET SOUVIGNON, 1/750ML, BT</t>
  </si>
  <si>
    <t>FT0042</t>
  </si>
  <si>
    <t>WINE, TERRA VEGA MERLOT, 1/750 ML, BT</t>
  </si>
  <si>
    <t>FT0045</t>
  </si>
  <si>
    <t>BELGIAN FLOWER BOWL, 144 PC X 1 CS</t>
  </si>
  <si>
    <t>FT0046</t>
  </si>
  <si>
    <t>BELGIAN PREMIUM WAFFLE CONE, 65X155MM, 156PC/CS</t>
  </si>
  <si>
    <t>FT0049</t>
  </si>
  <si>
    <t>FLAVOURING, BLOOD ORANGE, TORANI, 12/1.89L</t>
  </si>
  <si>
    <t>FT0050</t>
  </si>
  <si>
    <t>FLAVOURING, CARAMEL SAUCE, TORANI, 1.89L /BOT</t>
  </si>
  <si>
    <t>FT0051</t>
  </si>
  <si>
    <t>FLAVOURING, CHOCO SAUCE, TORANI, PLASTIC BOT 1.89L</t>
  </si>
  <si>
    <t>FT0052</t>
  </si>
  <si>
    <t>FLAVOURING, HAZELNUT SYRUP, TORANI, 750ML /BOT</t>
  </si>
  <si>
    <t>FT0057</t>
  </si>
  <si>
    <t>TORANI IRISH CREAM SYRUP, 750ML/BT</t>
  </si>
  <si>
    <t>FT0058</t>
  </si>
  <si>
    <t>TORANI ORGEAT SYRUP, 750ML/BT</t>
  </si>
  <si>
    <t>FT0059</t>
  </si>
  <si>
    <t>TORANI PEPPERMINT SYRUP, 750ML/BT</t>
  </si>
  <si>
    <t>FT0060</t>
  </si>
  <si>
    <t>TORANI RASPBERRY SYRUP, 750ML/BT</t>
  </si>
  <si>
    <t>FT0062</t>
  </si>
  <si>
    <t>LAPID CHICHARON, 100G/PK</t>
  </si>
  <si>
    <t>FT0066</t>
  </si>
  <si>
    <t>FISH, BANGUS, DAING, 2/250G, KG</t>
  </si>
  <si>
    <t>FT0068</t>
  </si>
  <si>
    <t>MEAT, PORK, TOCINO, 10/200G, KG</t>
  </si>
  <si>
    <t>FT0072</t>
  </si>
  <si>
    <t>FRUIT, ORANGE NAVEL, 280-330G/PC, KG</t>
  </si>
  <si>
    <t>FT0078</t>
  </si>
  <si>
    <t>CREMA CON TARTUFO, 1/750ML, BT</t>
  </si>
  <si>
    <t>FT0079</t>
  </si>
  <si>
    <t>PASTA, INSTANT PENNE, 24/500GM, KG</t>
  </si>
  <si>
    <t>FT0080</t>
  </si>
  <si>
    <t>PASTA, INSTANT SPAGHETTI, 1/1KG, KG</t>
  </si>
  <si>
    <t>FT0081</t>
  </si>
  <si>
    <t>PASTA, LINGUINI (MOCAGATTA), 24/500GM, KG</t>
  </si>
  <si>
    <t>FT0082</t>
  </si>
  <si>
    <t>SCALLOP,FROZEN,W/O SHELL,230-250GRAMS/PC</t>
  </si>
  <si>
    <t>FT0084</t>
  </si>
  <si>
    <t>CHILI SAUCE,HOT SAUCE, SACHET 200PCS/CS</t>
  </si>
  <si>
    <t>FT0085</t>
  </si>
  <si>
    <t>MEAT, CHORIZO, SPANISH, KG</t>
  </si>
  <si>
    <t>FT0087</t>
  </si>
  <si>
    <t>TRUFFLE OIL , 1/250ML, BT</t>
  </si>
  <si>
    <t>FT0091</t>
  </si>
  <si>
    <t>CREAMER SACHET,COFFEEMATE(NESTLE), 10/100/3GM</t>
  </si>
  <si>
    <t>FT0092</t>
  </si>
  <si>
    <t>COLA DRINK, MUG ROOT BEER, 1.5 L, 12 BT X 1CS</t>
  </si>
  <si>
    <t>FT0094</t>
  </si>
  <si>
    <t>LIPTON  ICE TEA 360G (6/CS) CATERING PACK, CS</t>
  </si>
  <si>
    <t>FT0096</t>
  </si>
  <si>
    <t>BACARDI WHITE (LIGHT), 750ML/BT, BT</t>
  </si>
  <si>
    <t>FT0097</t>
  </si>
  <si>
    <t>CAPTAIN MORGAN SPICED RUM, 700ML/BT, BT</t>
  </si>
  <si>
    <t>FT0098</t>
  </si>
  <si>
    <t>MYER'S JAMAICAN DARK RUM, 1L/BT, BT</t>
  </si>
  <si>
    <t>FT0099</t>
  </si>
  <si>
    <t>BEEFEATER GIN, 1L/BT, BT</t>
  </si>
  <si>
    <t>FT0100</t>
  </si>
  <si>
    <t>SMIRNOFF RED VODKA, 1L/BT, BT</t>
  </si>
  <si>
    <t>FT0101</t>
  </si>
  <si>
    <t>STOLICHNAYA VODKA, 1L/BT, BT</t>
  </si>
  <si>
    <t>FT0102</t>
  </si>
  <si>
    <t>COINTREAU ORANGE LIQUEUR, 700ML/BT, BT</t>
  </si>
  <si>
    <t>FT0103</t>
  </si>
  <si>
    <t>JOSE CUERVO GOLD, 1L/BT, BT</t>
  </si>
  <si>
    <t>FT0105</t>
  </si>
  <si>
    <t>WALSH, BLUE CURACAO, 700ML/BT, BT</t>
  </si>
  <si>
    <t>FT0106</t>
  </si>
  <si>
    <t>WALSH, CRÈME DE BANANAS, 700ML/BT, BT</t>
  </si>
  <si>
    <t>FT0107</t>
  </si>
  <si>
    <t>WALSH, GRENADINE SYRUP, 700ML/BT, BT</t>
  </si>
  <si>
    <t>FT0109</t>
  </si>
  <si>
    <t>WALSH, TRIPLE SEC, 700ML/BT, BT</t>
  </si>
  <si>
    <t>FT0111</t>
  </si>
  <si>
    <t>CREAM, AEROSOL WHIP CREAM(ELLE &amp; VIRE), 1/250G, PC</t>
  </si>
  <si>
    <t>FT0113</t>
  </si>
  <si>
    <t>MALIBU COCONUT RUM 700ML, BT</t>
  </si>
  <si>
    <t>FT0114</t>
  </si>
  <si>
    <t>DON SOLIS RED WINE 750ML, BT</t>
  </si>
  <si>
    <t>FT0115</t>
  </si>
  <si>
    <t>DON SOLIS WHITE WINE 750ML, BT</t>
  </si>
  <si>
    <t>FT0116</t>
  </si>
  <si>
    <t>TORANI STRAWBERRY SYRUP 750ML, BT</t>
  </si>
  <si>
    <t>FT0117</t>
  </si>
  <si>
    <t>TORANI BLUE CURACAO 750ML, BT</t>
  </si>
  <si>
    <t>FT0118</t>
  </si>
  <si>
    <t>TORANI CRÈME DE BANANA 750ML, BT</t>
  </si>
  <si>
    <t>FT0119</t>
  </si>
  <si>
    <t>MONIN SANGRIA MIX 700ML, BT</t>
  </si>
  <si>
    <t>FT0120</t>
  </si>
  <si>
    <t>MONIN SWEET AND SOUR 1L, BT</t>
  </si>
  <si>
    <t>FT0121</t>
  </si>
  <si>
    <t>MONIN STRAWBERRY PUREE 1L, BT</t>
  </si>
  <si>
    <t>FT0122</t>
  </si>
  <si>
    <t>MONIN MANGO PUREE 1L, BT</t>
  </si>
  <si>
    <t>FT0123</t>
  </si>
  <si>
    <t>MONIN PIÑA COLADA SYRUP 700ML, BT</t>
  </si>
  <si>
    <t>FT0124</t>
  </si>
  <si>
    <t>MONIN MOJITO MIX 1L, BT</t>
  </si>
  <si>
    <t>FT0128</t>
  </si>
  <si>
    <t>RICE, HARVESTER'S LONG GRAIN, 1/25KG, KG</t>
  </si>
  <si>
    <t>FT0132</t>
  </si>
  <si>
    <t>WANTON, DUMPLING WRAPPER, 250G/PK, PK</t>
  </si>
  <si>
    <t>FT0133</t>
  </si>
  <si>
    <t>SARDINES, SPANISH-ZARAGOZA, 24/220G, BT</t>
  </si>
  <si>
    <t>FT0135</t>
  </si>
  <si>
    <t>MEAT,NATIVE LONGGANIZA 1/960G</t>
  </si>
  <si>
    <t>FT0134</t>
  </si>
  <si>
    <t>MONIN STRAWBERRY SYRUP 1L/BT, BT</t>
  </si>
  <si>
    <t>FT0137</t>
  </si>
  <si>
    <t>ISLAND LIME JUICE MIXER</t>
  </si>
  <si>
    <t>FT0140</t>
  </si>
  <si>
    <t>JUICE, FRESH APPLE JUICE</t>
  </si>
  <si>
    <t>FT0141</t>
  </si>
  <si>
    <t>SYRUP , GREEN APPLE</t>
  </si>
  <si>
    <t>FT0142</t>
  </si>
  <si>
    <t>SYRUP , LYCHEE</t>
  </si>
  <si>
    <t>FT0143</t>
  </si>
  <si>
    <t>MOCAFE JAVA CHIPS</t>
  </si>
  <si>
    <t>FT0144</t>
  </si>
  <si>
    <t>SYRUP, FRENCH VANILLA</t>
  </si>
  <si>
    <t>FT0145</t>
  </si>
  <si>
    <t>MOCAFE TAHITIAN VANILLA LATTE</t>
  </si>
  <si>
    <t>FT0146</t>
  </si>
  <si>
    <t>SYRUP , SALTED CARAMEL</t>
  </si>
  <si>
    <t>FT0147</t>
  </si>
  <si>
    <t>MOCAFE EUROPEAN DRINKING CHOCOLATE</t>
  </si>
  <si>
    <t>FT0149</t>
  </si>
  <si>
    <t>ATCHARA, 907G</t>
  </si>
  <si>
    <t>FT0150</t>
  </si>
  <si>
    <t>JUMBO WHOLE WHEAT BREAD  (20 SLICES)</t>
  </si>
  <si>
    <t>FT0151</t>
  </si>
  <si>
    <t>BURGER BUN,OLSEN BREAD  (6PCS/PK)</t>
  </si>
  <si>
    <t>FT0152</t>
  </si>
  <si>
    <t>CHOCOLATE CHIPS COOKIES, 80 GRAMS PER PACK</t>
  </si>
  <si>
    <t>FT0153</t>
  </si>
  <si>
    <t>POTATO CHIPS(OISHI), PLAIN, 60G/PK, PK</t>
  </si>
  <si>
    <t>FT0155</t>
  </si>
  <si>
    <t>MUSHROOM , BUNASHIMEJI ,FRESH</t>
  </si>
  <si>
    <t>FT0156</t>
  </si>
  <si>
    <t xml:space="preserve">WINE,MARSALA </t>
  </si>
  <si>
    <t>FT0157</t>
  </si>
  <si>
    <t>MEAT, BEEF STRIPLOIN STEAK 200-220G/PACK</t>
  </si>
  <si>
    <t>FT0159</t>
  </si>
  <si>
    <t>COFFEE GROUND, MAURO DECAFFEINATED, 250G/PK</t>
  </si>
  <si>
    <t>FT0160</t>
  </si>
  <si>
    <t>SAUCE, A1 STEAK SAUCE</t>
  </si>
  <si>
    <t>FT0161</t>
  </si>
  <si>
    <t>LEA &amp; PERRINS WORCESTERSHIRE SAUCE</t>
  </si>
  <si>
    <t>FT0162</t>
  </si>
  <si>
    <t>MOCAFE MADAGASCAR VANILLA 4/1360G</t>
  </si>
  <si>
    <t>FT0163</t>
  </si>
  <si>
    <t>JAM. FIG CASA GUILIE</t>
  </si>
  <si>
    <t>FT0164</t>
  </si>
  <si>
    <t>PASTA, TRI-COLOR FUSSILI</t>
  </si>
  <si>
    <t>FT0165</t>
  </si>
  <si>
    <t>DINNER ROLL, PC</t>
  </si>
  <si>
    <t>FT0166</t>
  </si>
  <si>
    <t>MINI LENTILS, 1/1KG</t>
  </si>
  <si>
    <t>FT0167</t>
  </si>
  <si>
    <t>MINI ASSTD. MARSHMALLOW 1/680G</t>
  </si>
  <si>
    <t>FT0168</t>
  </si>
  <si>
    <t>NON PAREILS SPRINKLES 1/250G</t>
  </si>
  <si>
    <t>FT0169</t>
  </si>
  <si>
    <t>RICE CRISPIES CLUSTER 1/500G</t>
  </si>
  <si>
    <t>FT0170</t>
  </si>
  <si>
    <t>JELLY BEANS ASSTD. 1/1KG</t>
  </si>
  <si>
    <t>FT0171</t>
  </si>
  <si>
    <t>ASSTD. VERMICELLI 1/1KG</t>
  </si>
  <si>
    <t>FT0172</t>
  </si>
  <si>
    <t>CATSUP, DEL MONTE ORIG BLEND KETCHUP, 567G</t>
  </si>
  <si>
    <t>FT0173</t>
  </si>
  <si>
    <t>NON PAREILS SPRINKLES 1/1KG</t>
  </si>
  <si>
    <t>FT0174</t>
  </si>
  <si>
    <t>HONEY, RAW WILD CEM'S</t>
  </si>
  <si>
    <t>FT0175</t>
  </si>
  <si>
    <t>CHEESE, CHEDDAR SLICED</t>
  </si>
  <si>
    <t>FT0176</t>
  </si>
  <si>
    <t>BREAD, BRIOCHE BUN W/ EGG WASH 80-G</t>
  </si>
  <si>
    <t>FT0177</t>
  </si>
  <si>
    <t>FROZEN, POTATO WEDGE, REDSTONE BATTERED 8-CUT</t>
  </si>
  <si>
    <t>FT0178</t>
  </si>
  <si>
    <t>FROZEN, ONION RINGS, BREADED</t>
  </si>
  <si>
    <t>FT0179</t>
  </si>
  <si>
    <t>CONE, WAFFLE SWISS 23 DEGREE</t>
  </si>
  <si>
    <t>FT0180</t>
  </si>
  <si>
    <t>COLD CUTS, HMA T2</t>
  </si>
  <si>
    <t>FT0181</t>
  </si>
  <si>
    <t>TEA, BLACK, DILMAH EARL GREY</t>
  </si>
  <si>
    <t>FT0182</t>
  </si>
  <si>
    <t>TEA, BLACK, DILMAH PURE</t>
  </si>
  <si>
    <t>FT0183</t>
  </si>
  <si>
    <t xml:space="preserve">PASTA, RIGATONI </t>
  </si>
  <si>
    <t>FT0184</t>
  </si>
  <si>
    <t>WINE WHITE, VINA LANZAR  750 ML</t>
  </si>
  <si>
    <t>BOT</t>
  </si>
  <si>
    <t>FT0185</t>
  </si>
  <si>
    <t>WINE RED, FRANZIA  CALIFORNIA , 3LT</t>
  </si>
  <si>
    <t>FT0186</t>
  </si>
  <si>
    <t>CONE, BELGIAN STANDARD</t>
  </si>
  <si>
    <t>FT0187</t>
  </si>
  <si>
    <t xml:space="preserve">FROZEN , PD SHRIMP PEELED IQF, 100-200pcs </t>
  </si>
  <si>
    <t>FT0188</t>
  </si>
  <si>
    <t>CHIVITI GRAN FEUDO CRIANZA 750ml</t>
  </si>
  <si>
    <t>FT0189</t>
  </si>
  <si>
    <t>WINE, RED CRANE LAKE MERLOT 750ml</t>
  </si>
  <si>
    <t>FT0190</t>
  </si>
  <si>
    <t>CONDIMENTS, GARLIC CHIPS,size: either 100g/70g</t>
  </si>
  <si>
    <t>FT0191</t>
  </si>
  <si>
    <t>WINE, CRANE LAKE CHARDONNAY WHITE</t>
  </si>
  <si>
    <t>FT0192</t>
  </si>
  <si>
    <t>WINE, OBSCURED BLEND RED</t>
  </si>
  <si>
    <t>FT0193</t>
  </si>
  <si>
    <t>WINE, MURPHY-GOODE ZINFANDEL RED</t>
  </si>
  <si>
    <t>FT0194</t>
  </si>
  <si>
    <t>WINE, RED VIÑAR  LANZAR, 750ML</t>
  </si>
  <si>
    <t>FT0195</t>
  </si>
  <si>
    <t>WINE, WHITE VIÑAR LANZAR, 750ML</t>
  </si>
  <si>
    <t>FT0196</t>
  </si>
  <si>
    <t>LIQUOR, LIGHT EMPERADOR, 750ML</t>
  </si>
  <si>
    <t>FT0197</t>
  </si>
  <si>
    <t>JUICE, ORANGE, 1L</t>
  </si>
  <si>
    <t>FT0198</t>
  </si>
  <si>
    <t>SPREAD, HAZELNUT NUTELLA, 1/350GM</t>
  </si>
  <si>
    <t>FT0199</t>
  </si>
  <si>
    <t>FROZEN, TAIL SALMON PORTION 230-250G/PC</t>
  </si>
  <si>
    <t>FT0200</t>
  </si>
  <si>
    <t>PASTA, SPAGHETTI SQUID INK</t>
  </si>
  <si>
    <t>FT0201</t>
  </si>
  <si>
    <t>SUNDRIED TOMATOES</t>
  </si>
  <si>
    <t>FT0202</t>
  </si>
  <si>
    <t>CHEESE, PROCESSED CHEDDAR</t>
  </si>
  <si>
    <t>FT0203</t>
  </si>
  <si>
    <t>CREAM, ALL PURPOSE, NESTLE, 24/250GM, L</t>
  </si>
  <si>
    <t>FT0204</t>
  </si>
  <si>
    <t>70% ISOPROPYL ALCOHOL, PUMP, 1L</t>
  </si>
  <si>
    <t>FT0205</t>
  </si>
  <si>
    <t>70% ISOPROPYL ALCOHOL, REFILL, 5L</t>
  </si>
  <si>
    <t>FT0206</t>
  </si>
  <si>
    <t>FT0207</t>
  </si>
  <si>
    <t>CHILI SAUCE, FRANKS RED HOT SAUCE</t>
  </si>
  <si>
    <t>FT0208</t>
  </si>
  <si>
    <t xml:space="preserve">WINE, COOKING WHITE </t>
  </si>
  <si>
    <t>FT0209</t>
  </si>
  <si>
    <t>WINE, COOKING RED</t>
  </si>
  <si>
    <t>FT0210</t>
  </si>
  <si>
    <t>CREMA CON TARTUFO, 750GMS</t>
  </si>
  <si>
    <t>FT0211</t>
  </si>
  <si>
    <t xml:space="preserve">COFFEE, SANTOS BLEND BEANS 500G </t>
  </si>
  <si>
    <t>FT0212</t>
  </si>
  <si>
    <t>MONIN YUZU FRUIT PUREE</t>
  </si>
  <si>
    <t>FT0213</t>
  </si>
  <si>
    <t>MONIN PEACH SYRUP</t>
  </si>
  <si>
    <t>FT0214</t>
  </si>
  <si>
    <t>LIPTON YELLOW LABEL TEA 100s/2g (12/200g)</t>
  </si>
  <si>
    <t>FT0215</t>
  </si>
  <si>
    <t>NESTLE LEMONADE 12/200G</t>
  </si>
  <si>
    <t>FT0216</t>
  </si>
  <si>
    <t>COCONUT WATER</t>
  </si>
  <si>
    <t>FT0217</t>
  </si>
  <si>
    <t>SAGANA GOURMET TOYO IN OLIVE OIL- 24/210g</t>
  </si>
  <si>
    <t>FT0218</t>
  </si>
  <si>
    <t>SALTED EGG</t>
  </si>
  <si>
    <t>FT0219</t>
  </si>
  <si>
    <t>FROZEN, SALMON FILLET PORTION CUT (3PCS/PACK)</t>
  </si>
  <si>
    <t>FT0220</t>
  </si>
  <si>
    <t>WINE, CITRA CHARDONNAY</t>
  </si>
  <si>
    <t>FT0221</t>
  </si>
  <si>
    <t>FROZEN, SALMON PORTION 1/160G</t>
  </si>
  <si>
    <t>FT0222</t>
  </si>
  <si>
    <t>COFFEE CRUNCH DUMMY 18PCS PER PACK</t>
  </si>
  <si>
    <t>FT0223</t>
  </si>
  <si>
    <t>SEA SALTED DUMMY CRUNCH 26 - 28PCS PER PACK</t>
  </si>
  <si>
    <t>FT0224</t>
  </si>
  <si>
    <t>BLACK TRUFFLE CREAM, 500G</t>
  </si>
  <si>
    <t>FT0225</t>
  </si>
  <si>
    <t xml:space="preserve">CREAM,AEROSOL WHIP CREAM, HOPLA BRAND, 12/250G </t>
  </si>
  <si>
    <t>FT0226</t>
  </si>
  <si>
    <t>MARASCHINO CHERRIES WITH STEM, GOLDEN VALLEY, 12/737GM</t>
  </si>
  <si>
    <t>FT0227</t>
  </si>
  <si>
    <t>COFFEE, SANTOS BLEND BEANS 1000G</t>
  </si>
  <si>
    <t>FT0228</t>
  </si>
  <si>
    <t>MOLINERA JALAPEÑOS SLICED</t>
  </si>
  <si>
    <t>FT0229</t>
  </si>
  <si>
    <t>SHAMROCK  LIQUID SMOKE</t>
  </si>
  <si>
    <t>FT0230</t>
  </si>
  <si>
    <t>MEAT, PORK STEAK CUT WITH FAT BONELESS/SKIN ON 145-155G/PC (2pc/pack)</t>
  </si>
  <si>
    <t>FT0231</t>
  </si>
  <si>
    <t>MEAT, PORK STEAK CUT WITH FAT BONELESS/SKIN ON - 2PCS/PACK (VACUUM)</t>
  </si>
  <si>
    <t>FT0232</t>
  </si>
  <si>
    <t>CARAMIA CONE SLEEVE Size : 116 mm x 146 mm (S),C1S#60</t>
  </si>
  <si>
    <t>FT0233</t>
  </si>
  <si>
    <t>AMICI CONE SLEEVE Size : 116 mm x 146 mm (S),C1S#60</t>
  </si>
  <si>
    <t>FT0234</t>
  </si>
  <si>
    <t>COLDCUTS , COOKED SWEET HAM SAVER’S SLICED, 32/250g</t>
  </si>
  <si>
    <t>PM0001</t>
  </si>
  <si>
    <t>PM</t>
  </si>
  <si>
    <t>BAG, HDPE, 10 X 14 X 0.001"</t>
  </si>
  <si>
    <t>PM0002</t>
  </si>
  <si>
    <t>BAG, HDPE, 12 X 18 X 0.016</t>
  </si>
  <si>
    <t>PM0003</t>
  </si>
  <si>
    <t>BAG, HDPE,  20 X 30 X 0.001"</t>
  </si>
  <si>
    <t>PM0004</t>
  </si>
  <si>
    <t>BAG, HDPE,  6 X 10 X 0.0016"</t>
  </si>
  <si>
    <t>PM0006</t>
  </si>
  <si>
    <t>BAG, BOILABLE, 205MM X 205MM 85 MICRON, PC</t>
  </si>
  <si>
    <t>PM0007</t>
  </si>
  <si>
    <t>BAG, LAMINATED NYLON PE, 8"X11", 85 MIC, PC</t>
  </si>
  <si>
    <t>PM0008</t>
  </si>
  <si>
    <t>BAG, LAMINATED NYLON PE, 10"X12", 85 MIC, PC</t>
  </si>
  <si>
    <t>PM0009</t>
  </si>
  <si>
    <t>BAG, LAMINATED OPP / PE 190MM X 375MM (70MICRONS)</t>
  </si>
  <si>
    <t>PM0010</t>
  </si>
  <si>
    <t>BAG, LAMINATED OPP / PE 200MM X 150MM (70MICRONS)</t>
  </si>
  <si>
    <t>PM0011</t>
  </si>
  <si>
    <t>BAG, PE, CLEAR, 6X10X0.0012</t>
  </si>
  <si>
    <t>PM0012</t>
  </si>
  <si>
    <t>BAG, PE, CLEAR, 24X16X0.0015</t>
  </si>
  <si>
    <t>PM0014</t>
  </si>
  <si>
    <t>BAG, PP, 9" X17", 30 MIC</t>
  </si>
  <si>
    <t>PM0018</t>
  </si>
  <si>
    <t>TRAY, MT102, 228.6 X 139.7X25.4 MM</t>
  </si>
  <si>
    <t>PM0020</t>
  </si>
  <si>
    <t>TRAY, STYRO RT-1 BRAZO</t>
  </si>
  <si>
    <t>PM0022</t>
  </si>
  <si>
    <t>SIDELINER, 2SLAM CARRIER 0.018" 635X80 MM</t>
  </si>
  <si>
    <t>PM0024</t>
  </si>
  <si>
    <t>BOX, 254X254X127MM, CB20, 2L, CARA MIA</t>
  </si>
  <si>
    <t>PM0025</t>
  </si>
  <si>
    <t>BOX, WROLL, 18X5.25X4IN, CB20, 2L, CARA MIA</t>
  </si>
  <si>
    <t>PM0026</t>
  </si>
  <si>
    <t>BOX, HROLL, 10X5.51X4.02IN, CB20, 2L, CARA MIA</t>
  </si>
  <si>
    <t>PM0027</t>
  </si>
  <si>
    <t>BOARD, ROUND, 9.75IND, CARA MIA LOGO</t>
  </si>
  <si>
    <t>PM0028</t>
  </si>
  <si>
    <t>TAPE, 305PH, TRANSPARENT 1", GELATO USE, 3M</t>
  </si>
  <si>
    <t>PM0029</t>
  </si>
  <si>
    <t>TAPE, CODING, BLUE, 9MM</t>
  </si>
  <si>
    <t>PM0030</t>
  </si>
  <si>
    <t>TAPE, CODING, DARK BLUE, 9MM</t>
  </si>
  <si>
    <t>PM0031</t>
  </si>
  <si>
    <t>TAPE, CODING, GREEN, 9MM</t>
  </si>
  <si>
    <t>PM0032</t>
  </si>
  <si>
    <t>TAPE, CODING, ORANGE, 9MM</t>
  </si>
  <si>
    <t>PM0033</t>
  </si>
  <si>
    <t>TAPE, CODING, WHITE, 9MM</t>
  </si>
  <si>
    <t>PM0034</t>
  </si>
  <si>
    <t>TAPE, CODING, RED, 9MM</t>
  </si>
  <si>
    <t>PM0035</t>
  </si>
  <si>
    <t>TAPE, CODING, YELLOW, 9MM</t>
  </si>
  <si>
    <t>PM0036</t>
  </si>
  <si>
    <t>BOX GELATO CAKE, NEW, 254MM X 254MM X 127MM</t>
  </si>
  <si>
    <t>PM0037</t>
  </si>
  <si>
    <t>GELATO STYRO CONTAINER, 500GM, 50SETS/BX</t>
  </si>
  <si>
    <t>SET</t>
  </si>
  <si>
    <t>PM0038</t>
  </si>
  <si>
    <t>GELATO STYRO CONTAINER, 1000GM, 50SETS/BX</t>
  </si>
  <si>
    <t>PM0039</t>
  </si>
  <si>
    <t>BOARD, SQUARE, WHITE, 9 ¾”  X 9 ¾”, W/O LOGO,PC</t>
  </si>
  <si>
    <t>PM0046</t>
  </si>
  <si>
    <t>ALUMINUM FOIL 30CM X 200MTRS/ROLL (11MIC) , RL</t>
  </si>
  <si>
    <t>PM0049</t>
  </si>
  <si>
    <t>BOX, PIZZA, 340 MM X 330 MM X 41 MM, 2021 AMICI DESIGN</t>
  </si>
  <si>
    <t>PM0050</t>
  </si>
  <si>
    <t>DISPOSABLE,ICE CREAM CUP, 3.5OZ, 50PCS X 40PK X1C</t>
  </si>
  <si>
    <t>PM0053</t>
  </si>
  <si>
    <t>TWINE, FOR PIZZA BOX / BAKERY</t>
  </si>
  <si>
    <t>PM0062</t>
  </si>
  <si>
    <t>DISPOSABLE PAPER CUP, W/PRINT, 4OZ, PC</t>
  </si>
  <si>
    <t>PM0063</t>
  </si>
  <si>
    <t>DISPOSABLE PAPER CUP, W/PRINT, 8.79OZ, PC</t>
  </si>
  <si>
    <t>PM0064</t>
  </si>
  <si>
    <t>DISPOSABLE PAPER CUP , PLAIN, 13.18OZ, PC</t>
  </si>
  <si>
    <t>PM0066</t>
  </si>
  <si>
    <t>DISPOSABLE, PAPER CONE WRAPPER, CARA MIA, C1S#60</t>
  </si>
  <si>
    <t>PM0067</t>
  </si>
  <si>
    <t>WRAPPER, HDPE, PIZZA T/O, 10 X 7, 2S SEAL</t>
  </si>
  <si>
    <t>PM0068</t>
  </si>
  <si>
    <t>DISPOSABLE, ICE CREAM LID, 3.5OZ, 100PCS/10PK/1CS</t>
  </si>
  <si>
    <t>PM0069</t>
  </si>
  <si>
    <t>BOX, PP,125#, E FLUTE, BROWN,325X225X60MM</t>
  </si>
  <si>
    <t>PM0070</t>
  </si>
  <si>
    <t>TRAY, ALUMINUM, #2220/44 - ID.300X210X50MM</t>
  </si>
  <si>
    <t>PM0073</t>
  </si>
  <si>
    <t>BOX, PAPER, PLAIN, 120 X 180 X 45MM, MB 880CC, PC</t>
  </si>
  <si>
    <t>PM0074</t>
  </si>
  <si>
    <t>RIBBON,YELLOW,#5 CUT EDGE RIBBON, 50YARDS/RL, RL</t>
  </si>
  <si>
    <t>PM0077</t>
  </si>
  <si>
    <t>DISPOSABLE PASTRY BAG 12" (100PCS/PK),PC</t>
  </si>
  <si>
    <t>PM0078</t>
  </si>
  <si>
    <t>GROCERY PAPER BAG(THICK),L=16.25X W=11XB=6,PC</t>
  </si>
  <si>
    <t>PM0080</t>
  </si>
  <si>
    <t>CONTAINER, TAKEOUT C-306, OPS, 5-1/4X4-7/8X3IN, PC</t>
  </si>
  <si>
    <t>PM0103</t>
  </si>
  <si>
    <t>WOODEN, DILLY BAR STICK, L=6” X W=0.75”,10,000PCS/CTN</t>
  </si>
  <si>
    <t>PM0112</t>
  </si>
  <si>
    <t>ICE PACK,MEDIUM,6.5” X 5.1”, PC</t>
  </si>
  <si>
    <t>PM0113</t>
  </si>
  <si>
    <t>THERMAL BAG,PINK&amp;SILVER,W/PRINT, 10.5X10.5X6in,</t>
  </si>
  <si>
    <t>PM0114</t>
  </si>
  <si>
    <t>BIRTHDAY CANDLE, SMALL-PINK, 24PCSX24PKSX1BX, PC</t>
  </si>
  <si>
    <t>PM0115</t>
  </si>
  <si>
    <t>BIRTHDAY CANDLE, SMALL-BLUE, 24PCSX24PKSX1BX, PC</t>
  </si>
  <si>
    <t>PM0117</t>
  </si>
  <si>
    <t>PLASTIC "LABO" 8X11", PC</t>
  </si>
  <si>
    <t>PM0118</t>
  </si>
  <si>
    <t>PLASTIC "LABO" 10X14", PC</t>
  </si>
  <si>
    <t>PM0119</t>
  </si>
  <si>
    <t>PLASTIC "LABO" 6X10", PC</t>
  </si>
  <si>
    <t>PM0120</t>
  </si>
  <si>
    <t>PLASTIC "LABO" 16X24", PC</t>
  </si>
  <si>
    <t>PM0121</t>
  </si>
  <si>
    <t>PLASTIC "LABO" 20X30", PC</t>
  </si>
  <si>
    <t>PM0122</t>
  </si>
  <si>
    <t>BOX, 9X9X5", CB 20, 2L, CARA MIA</t>
  </si>
  <si>
    <t>PM0123</t>
  </si>
  <si>
    <t>TAPE, 305PH, TRANSPARENT 1/2", GELATO USE, 3M</t>
  </si>
  <si>
    <t>PM0124</t>
  </si>
  <si>
    <t>BOARD, ROUND, 8.5"D,CARAMIA LOGO</t>
  </si>
  <si>
    <t>PM0126</t>
  </si>
  <si>
    <t>BOARD, FOLCOTE, GREASE RESISTANT, 200MMX103MM, PC</t>
  </si>
  <si>
    <t>PM0127</t>
  </si>
  <si>
    <t>PAPER LINER, 2OZ, FOR BARS, PC</t>
  </si>
  <si>
    <t>PM0131</t>
  </si>
  <si>
    <t>RIBBON, GOLD, MATT #5 SIZE (22MM)  CUT EDGE RIBBON</t>
  </si>
  <si>
    <t>PM0135</t>
  </si>
  <si>
    <t>STYRO, ROUND, 7.5” DIA X 3” THICK, PC</t>
  </si>
  <si>
    <t>PM0136</t>
  </si>
  <si>
    <t>PAPER, GREASEPROOF SHEET FOR BARS,24"X 36", 30GSM, 480 PCS/REAM</t>
  </si>
  <si>
    <t>PM0137</t>
  </si>
  <si>
    <t>DISPOSABLE PAPER CUP ,PRINTED 3OZ, 2PE-180GSM</t>
  </si>
  <si>
    <t>PM0138</t>
  </si>
  <si>
    <t>STICKER, GELATO STYRO BOX (HEART SHAPE), 90MMX77MM, PC</t>
  </si>
  <si>
    <t>PM0139</t>
  </si>
  <si>
    <t>BERRIES,DOUBLE,RED, #4MM, 36 PCS/BUNDLE, PC</t>
  </si>
  <si>
    <t>PM0140</t>
  </si>
  <si>
    <t xml:space="preserve">STICKER FOR BARS,HI-GLOSS,W/ PRINT,33MM X 42MM, 16 PC/SHEET </t>
  </si>
  <si>
    <t>PM0142</t>
  </si>
  <si>
    <t>BAG, COPP, 6 x 9 INCHES , 100PCS/PACK</t>
  </si>
  <si>
    <t>PM0144</t>
  </si>
  <si>
    <t>BOX PLAIN FOR BARS - UNDER HIGHLAND</t>
  </si>
  <si>
    <t>PM0145</t>
  </si>
  <si>
    <t>BOX, PASTRY, PLAIN, CB CAL .015 215MMX115MMX40MM</t>
  </si>
  <si>
    <t>PM0146</t>
  </si>
  <si>
    <t>CONTAINER, ROUND, MICROWAVABLE PP, W/LID, S-16</t>
  </si>
  <si>
    <t>PM0147</t>
  </si>
  <si>
    <t>STICKER, CLEAR HEART SHAPED W/ PRINT FOR PET, 12OZ</t>
  </si>
  <si>
    <t>PM0148</t>
  </si>
  <si>
    <t>PAPER, KRAFT, SLEEVES W/PRINT FOR 8OZ CUP, E-FLUTE</t>
  </si>
  <si>
    <t>PM0150</t>
  </si>
  <si>
    <t>PAPER, BOX. MICROWAVABLE, PLAIN, 1500CC W/ HOLES</t>
  </si>
  <si>
    <t>PM0151</t>
  </si>
  <si>
    <t>PLASTIC, CONTAINER, ICED COFFEE W/ FLAT LID PET, 12OZ</t>
  </si>
  <si>
    <t>PM0152</t>
  </si>
  <si>
    <t>PAPER, CUP, WHITE, HOT COFFEE W/ WHITE LID, 8OZ</t>
  </si>
  <si>
    <t>PM0153</t>
  </si>
  <si>
    <t>PAPER, CUP, COFFEE, 9OZ, WHITE</t>
  </si>
  <si>
    <t>PM0154</t>
  </si>
  <si>
    <t>PLASTIC, LID, COFFEE, 8OZ, BLACK</t>
  </si>
  <si>
    <t>PM0155</t>
  </si>
  <si>
    <t>PAPER, BOX FOR PASTRY, CARAMIA W/ WINDOW</t>
  </si>
  <si>
    <t>PM0156</t>
  </si>
  <si>
    <t>PLASTIC, LABO, 12X18IN</t>
  </si>
  <si>
    <t>PM0157</t>
  </si>
  <si>
    <t>PAPER, BAG, KRAFT#3, CARAMIA, 80GSM</t>
  </si>
  <si>
    <t>PM0158</t>
  </si>
  <si>
    <t>PAPER, BAG, KRAFT#2, CARAMIA, 70GSM</t>
  </si>
  <si>
    <t>PM0159</t>
  </si>
  <si>
    <t>PLASTIC, CONTAINER, PET C-302, 294X150X48MM</t>
  </si>
  <si>
    <t>PM0160</t>
  </si>
  <si>
    <t>PLASTIC, BAG, COPP W/ADHESIVE, 5X9, 500PCS/PCK</t>
  </si>
  <si>
    <t>PM0161</t>
  </si>
  <si>
    <t>PAPER, BOARD, FOLDCOTE CAL.15, GREASE RESISTANT, 6.5X4"</t>
  </si>
  <si>
    <t>PM0162</t>
  </si>
  <si>
    <t>PAPER, SIDELINER, CB CAL.24, 2S LAM, 635X80MM</t>
  </si>
  <si>
    <t>PM0163</t>
  </si>
  <si>
    <t>PAPER, BOARD, GELATO CAKE 9inD w/ LOGO</t>
  </si>
  <si>
    <t>PM0164</t>
  </si>
  <si>
    <t>PAPER, BOX, GELATO CAKE, 235X235X127mm</t>
  </si>
  <si>
    <t>PM0165</t>
  </si>
  <si>
    <t>PLASTIC, CONTAINER, ICE COFFEE W/DOME LID, PET12oz</t>
  </si>
  <si>
    <t>PM0166</t>
  </si>
  <si>
    <t>PAPER, CUP, WHITE, HOT COFFEE W/WHITE LID, 12oz</t>
  </si>
  <si>
    <t>PM0167</t>
  </si>
  <si>
    <t>PAPER, KRAFT SLEEVES PLAIN FOR 12oz CUP, E-FLUTE</t>
  </si>
  <si>
    <t>PM0168</t>
  </si>
  <si>
    <t>PLASTIC, CONTAINER, ICE COFFEE W/DOME LID, PET12OZ</t>
  </si>
  <si>
    <t>PM0169</t>
  </si>
  <si>
    <t>PLASTIC, CONTAINER, ICE COFFEE W/ FLAT LID, PET12O</t>
  </si>
  <si>
    <t>PM0170</t>
  </si>
  <si>
    <t>PAPER, SLEEVES W/ LOGO,  GLUED, BOOK 60, 12OZ</t>
  </si>
  <si>
    <t>PM0171</t>
  </si>
  <si>
    <t>PAPER, BOX, REF. CAKE-XMAS, 254x254x127mm</t>
  </si>
  <si>
    <t>PM0172</t>
  </si>
  <si>
    <t>PAPER, BOX, GELATO CAKE-XMAS, 235X235X127mm</t>
  </si>
  <si>
    <t>PM0173</t>
  </si>
  <si>
    <t>Paper, Tub &amp; Lid, Gelato, 1000ml</t>
  </si>
  <si>
    <t>PM0174</t>
  </si>
  <si>
    <t>Plastic, Tub &amp; Lid, Gelato, Pint</t>
  </si>
  <si>
    <t>PM0175</t>
  </si>
  <si>
    <t>Sticker, Gelato Tub 1000ml w/ print, anti-frost</t>
  </si>
  <si>
    <t>PM0176</t>
  </si>
  <si>
    <t>STICKER, GELATO PINT W/ PRINT, COLD ADHESION</t>
  </si>
  <si>
    <t>PM0177</t>
  </si>
  <si>
    <t>Sticker for Gelato Pint,"Pistachio",1.75inx0.3in</t>
  </si>
  <si>
    <t>PM0178</t>
  </si>
  <si>
    <t>Sticker for Gelato Pint,"Choco.therapy”,1.75inx0.3in</t>
  </si>
  <si>
    <t>PM0179</t>
  </si>
  <si>
    <t>Sticker for Gelato Pint,"Cookies&amp;Cream",1.75inx0.3in</t>
  </si>
  <si>
    <t>PM0180</t>
  </si>
  <si>
    <t>Sticker for Gelato Pint, “Coffee Mudslide",1.75inx0.3in</t>
  </si>
  <si>
    <t>PM0181</t>
  </si>
  <si>
    <t>PLASTIC, TUB &amp; LID, GELATO, 1Liter</t>
  </si>
  <si>
    <t>PM0182</t>
  </si>
  <si>
    <t>STICKER, GELATO 1LITER W/ PRINT, COLD ADHESION</t>
  </si>
  <si>
    <t>PM0183</t>
  </si>
  <si>
    <t>SIDELINER, ACETATE 0.1mmTHK W/OUT SLIT, 688x100mm</t>
  </si>
  <si>
    <t>PM0184</t>
  </si>
  <si>
    <t>SIDELINER, ACETATE 0.1mmTHK W/OUT SLIT, 688x70mm</t>
  </si>
  <si>
    <t>PM0185</t>
  </si>
  <si>
    <t>RIBBON,SILVER, METALLIC,for Christmas,1”W,33yds/rl</t>
  </si>
  <si>
    <t>PM0186</t>
  </si>
  <si>
    <t>STICKER, CARAMIA HEART-SHAPE W/ PLASTIC LAM, 1.45”x1.75”</t>
  </si>
  <si>
    <t>PM0187</t>
  </si>
  <si>
    <t>VACANT</t>
  </si>
  <si>
    <t>PM0188</t>
  </si>
  <si>
    <t>STYRO ROUND, 6IN DIA x 3IN THICK</t>
  </si>
  <si>
    <t>PM0189</t>
  </si>
  <si>
    <t>INSULATED FOAM, POUCH, TUB, 11x10”x6in (overlap)</t>
  </si>
  <si>
    <t>PM0190</t>
  </si>
  <si>
    <t xml:space="preserve">INSULATED FOAM, POUCH, PINT, 8x10”x 5in (overlap) </t>
  </si>
  <si>
    <t>PM0191</t>
  </si>
  <si>
    <t xml:space="preserve">DELIVERY THERMAL BAG, BLACK W/ AMICI LOGO </t>
  </si>
  <si>
    <t>PM0192</t>
  </si>
  <si>
    <t>TRAY, ALUMINUM 3011MH,228mm(TO)x165mm(BO)dia x 27mm(Depth)</t>
  </si>
  <si>
    <t>PM0193</t>
  </si>
  <si>
    <t>ECO BAG,NON-WOVEN, PINK W/ PRINT, 30Lx28.5Wx33Hcm w/ piping</t>
  </si>
  <si>
    <t>PM0194</t>
  </si>
  <si>
    <t>TAPE,2inx10m (Double adhesive-for MCP)</t>
  </si>
  <si>
    <t>PM0195</t>
  </si>
  <si>
    <t>POUCH,LAMPAPER/PE,S-Gusset,50gsm,80Lx150Hx56Wmm</t>
  </si>
  <si>
    <t>PM0196</t>
  </si>
  <si>
    <t>TAPE,1inx10m (Double adhesive-for MCP)</t>
  </si>
  <si>
    <t>PM0197</t>
  </si>
  <si>
    <t>STYRO, RECTANGULAR, 125MMx330MMx45MM</t>
  </si>
  <si>
    <t>PM0198</t>
  </si>
  <si>
    <t>GREASEPROOF SHEET , ORANGE, 36inx24in, 10’S/pck</t>
  </si>
  <si>
    <t>PCK</t>
  </si>
  <si>
    <t>PM0199</t>
  </si>
  <si>
    <t xml:space="preserve">OPP SHEET, PLAIN,115mmWx275mmLx30mic </t>
  </si>
  <si>
    <t>PM0200</t>
  </si>
  <si>
    <t>BOARD, TRIANGULAR, PG-010, GOLD CLAYCOAT, 1mm, FOR CAKE SLICE</t>
  </si>
  <si>
    <t>PM0201</t>
  </si>
  <si>
    <t>BOX,150x90x127mm, CB15, UVL-1S, FOR CAKE SLICE</t>
  </si>
  <si>
    <t>PM0202</t>
  </si>
  <si>
    <t>PM0203</t>
  </si>
  <si>
    <t>PM0204</t>
  </si>
  <si>
    <t>CAKE BOX TEMPORARY STICKER 8.5"X7"</t>
  </si>
  <si>
    <t>PM0205</t>
  </si>
  <si>
    <t>HINGE CUP, MICROWAVABLE PP, 90ML</t>
  </si>
  <si>
    <t>PM0206</t>
  </si>
  <si>
    <t>PLAIN PAPER BOWL WHITE, 260CC</t>
  </si>
  <si>
    <t>PM0207</t>
  </si>
  <si>
    <t>PLAIN PAPER BOWL WHITE PP LID, 260CC</t>
  </si>
  <si>
    <t>PM0208</t>
  </si>
  <si>
    <t>CAKE BOARD, GENERIC, 9.75-INCH</t>
  </si>
  <si>
    <t>PM0209</t>
  </si>
  <si>
    <t>CONTAINER, STARCH, 4 COMPARTMENTS, 27CM X 19CM X 5CM</t>
  </si>
  <si>
    <t>PM0210</t>
  </si>
  <si>
    <t>BOX, PIZZA, 8" (215mM X 225MM X 37MM)</t>
  </si>
  <si>
    <t>PM0211</t>
  </si>
  <si>
    <t>HINGE CUP, MICROWAVABLE PP, 30ML</t>
  </si>
  <si>
    <t>PM0212</t>
  </si>
  <si>
    <t>MASKING TAPE, 1/2", 96 RLS/BOX</t>
  </si>
  <si>
    <t>PM0213</t>
  </si>
  <si>
    <t>BOARD, ROUND, 10", PLAIN</t>
  </si>
  <si>
    <t>PM0214</t>
  </si>
  <si>
    <t>BOX, HROLL, 10X5.51X4.02IN, CB20, 2L, PLAIN</t>
  </si>
  <si>
    <t>PM0215</t>
  </si>
  <si>
    <t>STICKER, FRESHNESS GUARANTEED, SATIN,1 X 2, 1/0, FULL CUT</t>
  </si>
  <si>
    <t>PM0216</t>
  </si>
  <si>
    <t>HINGE CUP, MICROWAVABLE PP, 250ML</t>
  </si>
  <si>
    <t>PM0217</t>
  </si>
  <si>
    <t>PAPER, BAG, KRAFT, AMICI, 27.50 x 27.50 x 23cm</t>
  </si>
  <si>
    <t>PM0218</t>
  </si>
  <si>
    <t>SIDELINER, ACETATE 0.1mmTHK W/OUT SLIT, 726 x 100mm</t>
  </si>
  <si>
    <t>PM0219</t>
  </si>
  <si>
    <t>AMICI PERSONALE MEAL STICKER w/ matte lam 4 x 1.5inch</t>
  </si>
  <si>
    <t>PM0220</t>
  </si>
  <si>
    <t>SIDELINER, ACETATE 0.1mmTHK W/OUT SLIT, 561 x 100 mm</t>
  </si>
  <si>
    <t>PM0221</t>
  </si>
  <si>
    <t>ALUMINUM FOOD TRAY W. PLASTIC LID , 204MM X 204MM X 45MM</t>
  </si>
  <si>
    <t>PM0222</t>
  </si>
  <si>
    <t>TAPA KING, CAKE BOX</t>
  </si>
  <si>
    <t>PM0223</t>
  </si>
  <si>
    <t>TAPA KING, CAKE BOARD</t>
  </si>
  <si>
    <t>PM0224</t>
  </si>
  <si>
    <t>ESTAPE EASY PEEL TAPE,LARGE, WHITE, 55MM x 26MM / 100RLS/BX</t>
  </si>
  <si>
    <t>PM0225</t>
  </si>
  <si>
    <t>PLASTIC CUP, 16oz PET CUP, 1000 X BOX</t>
  </si>
  <si>
    <t>PM0226</t>
  </si>
  <si>
    <t>PLASTIC CUP FLAT LID W/. HOLE, F98, 1000 X BOX</t>
  </si>
  <si>
    <t>PM0227</t>
  </si>
  <si>
    <t>PLASTIC CUP DOME LID W/. HOLE, D98, 1000 X BOX</t>
  </si>
  <si>
    <t>PM0228</t>
  </si>
  <si>
    <t>PAPER, BAG, BLEACHED KRAFT, CARAMIA, 30x26.5x22.5 X 100 gsm</t>
  </si>
  <si>
    <t>PM0229</t>
  </si>
  <si>
    <t>CARAMIA GIFT TAG, C2S 180 ( 1 SIDE PRINT), 3.5"(W) x (2"(H)</t>
  </si>
  <si>
    <t>PM0230</t>
  </si>
  <si>
    <t>CM WIDE BOTTOM PAPER BAG, 10.5" X 11.75" X 9". BLEACHED KRAFT 100 GSM, PINK</t>
  </si>
  <si>
    <t>PM0231</t>
  </si>
  <si>
    <t>CARAMIA U-CUP 16OZ PP CUP, WITH SCREENPRINT</t>
  </si>
  <si>
    <t>PM0232</t>
  </si>
  <si>
    <t>CARAMIA U-CUP 16OZ LID</t>
  </si>
  <si>
    <t>PM0233</t>
  </si>
  <si>
    <t>CM GELATO SHAKE BAG, PE TRANS W/. PUNCH HANDLE, 7 X 11 + 1 1/2BTM GUSS X .0025</t>
  </si>
  <si>
    <t>PM0234</t>
  </si>
  <si>
    <t>DISPOSABLE PAPER CUP, AMICI PRINT, 143CC</t>
  </si>
  <si>
    <t>PM0235</t>
  </si>
  <si>
    <t>DISPOSABLE PAPER CUP, AMICI PRINT, 260CC</t>
  </si>
  <si>
    <t>PM0236</t>
  </si>
  <si>
    <t>DISPOSABLE PAPER CUP, AMICI PRINT, 3OZ</t>
  </si>
  <si>
    <t>PM0237</t>
  </si>
  <si>
    <t>BOX, 254x254x127mm, CB20, 2L, PLAIN</t>
  </si>
  <si>
    <t>PM0238</t>
  </si>
  <si>
    <t>DISPOSABLE PAPER CUP, W/PRINT, 260CC, LARGE ORANGE</t>
  </si>
  <si>
    <t>PM0239</t>
  </si>
  <si>
    <t>DISPOSABLE PAPER CUP, W/PRINT, 260CC, MEDIUM PURPLE</t>
  </si>
  <si>
    <t>PM0240</t>
  </si>
  <si>
    <t>AMICI STICKER, GELATO 1LITER W/ PRINT, COLD ADHESION, 5.75" DIA</t>
  </si>
  <si>
    <t>PM0241</t>
  </si>
  <si>
    <t>AMICI STICKER, GELATO PINT W/ PRINT, COLD ADHESION, 4x3"</t>
  </si>
  <si>
    <t>PM0242</t>
  </si>
  <si>
    <t>AMICI STICKER, CAKE BOX REGULAR, 3 X 3.4"</t>
  </si>
  <si>
    <t>PM0243</t>
  </si>
  <si>
    <t>CARAMIA THERMAL BAG,GREY&amp;SILVER,W/PRINT, 11X11X6in</t>
  </si>
  <si>
    <t>PM0244</t>
  </si>
  <si>
    <t>DISPOSABLE PAPER CUP, CARAMIA LOGO PRINT, 143CC</t>
  </si>
  <si>
    <t>RM0001</t>
  </si>
  <si>
    <t>BISCUIT COOKIES, GROUND, 1/20KG, KG</t>
  </si>
  <si>
    <t>RM0002</t>
  </si>
  <si>
    <t>BISCUIT COOKIES, VANILLA, 12/274GM, KG</t>
  </si>
  <si>
    <t>RM0004</t>
  </si>
  <si>
    <t>BISCUIT, GRAHAM CRUSHED, 24/200GM, KG</t>
  </si>
  <si>
    <t>RM0008</t>
  </si>
  <si>
    <t>CHOCOLATE, BITTERSWEET COMPOUND, 1/5KG, KG</t>
  </si>
  <si>
    <t>RM0009</t>
  </si>
  <si>
    <t>CHOCOLATE, COMPOUND, WHITE CHOCO, 20/500GM, KG</t>
  </si>
  <si>
    <t>RM0010</t>
  </si>
  <si>
    <t>COCOA POWDER, BARRY CALLEBAUT, D102C, 1/25KG, KG</t>
  </si>
  <si>
    <t>RM0011</t>
  </si>
  <si>
    <t>COCOA, BREAKFAST RICOA CANISTER, 24/160GM</t>
  </si>
  <si>
    <t>RM0012</t>
  </si>
  <si>
    <t>COMPOUND CHOCOLATE, D SWEET, 4/5KG, KG</t>
  </si>
  <si>
    <t>RM0013</t>
  </si>
  <si>
    <t>COUVETURE, DARK NOIR, BELCOLADE C501J, 2/5KG, KG</t>
  </si>
  <si>
    <t>RM0014</t>
  </si>
  <si>
    <t>COUVETURE,DBITTER B CALLEBAUT 811 NV, 2/5KG, KG</t>
  </si>
  <si>
    <t>RM0015</t>
  </si>
  <si>
    <t>CHEESE, BLUE, 8/7/100GM, KG</t>
  </si>
  <si>
    <t>RM0016</t>
  </si>
  <si>
    <t>CHEESE, CHEDDAR, KRAFT, 24/440GM, KG</t>
  </si>
  <si>
    <t>RM0019</t>
  </si>
  <si>
    <t>CHEESE, GOUDA CHEESE(MAINLAND), 12/200G, KG</t>
  </si>
  <si>
    <t>RM0020</t>
  </si>
  <si>
    <t>CHEESE, GRANA PADANO (WEDGE), KG</t>
  </si>
  <si>
    <t>RM0024</t>
  </si>
  <si>
    <t>CHEESE, MOZARELLA, MG, 2/10KG, KG</t>
  </si>
  <si>
    <t>RM0026</t>
  </si>
  <si>
    <t>PROVOLONE PICANTE CHEESE, 1/100GM, KG</t>
  </si>
  <si>
    <t>RM0027</t>
  </si>
  <si>
    <t>CHEESE, RICOTTA, 4/1.5KG, KG</t>
  </si>
  <si>
    <t>RM0028</t>
  </si>
  <si>
    <t>CREAM CHEESE, 1/10KG, KG</t>
  </si>
  <si>
    <t>RM0029</t>
  </si>
  <si>
    <t>ALLURA RED (WATER BASED), KG</t>
  </si>
  <si>
    <t>RM0030</t>
  </si>
  <si>
    <t>ALLURA RED ALUMINUM LAKE, 1/500GM, KG</t>
  </si>
  <si>
    <t>RM0031</t>
  </si>
  <si>
    <t>COLOURING CHOCO BROWN, (POWDER), 1/1KG, KG</t>
  </si>
  <si>
    <t>RM0033</t>
  </si>
  <si>
    <t>COLOURING, CHOCO BROWN, FERNA PRIMERA, 1/500GM, KG</t>
  </si>
  <si>
    <t>RM0034</t>
  </si>
  <si>
    <t>COLOURING, EGG YELLOW, NECO, KG</t>
  </si>
  <si>
    <t>RM0035</t>
  </si>
  <si>
    <t>COLOURING, GREEN LIQUID, 1/1L, L</t>
  </si>
  <si>
    <t>RM0037</t>
  </si>
  <si>
    <t>COLOURING, RED, MCCORNICK(LIQUID), 1/500GM, KG</t>
  </si>
  <si>
    <t>RM0038</t>
  </si>
  <si>
    <t>COLOURING, YELLOW, MCCORMICK, 24/20ML, L</t>
  </si>
  <si>
    <t>RM0039</t>
  </si>
  <si>
    <t>CREAM, ALL PURPOSE, ALASKA, 36/250GM, L</t>
  </si>
  <si>
    <t>RM0040</t>
  </si>
  <si>
    <t>RM0041</t>
  </si>
  <si>
    <t>CREAM, ANCHOR EXTRA WHIP, 12/1L, KG</t>
  </si>
  <si>
    <t>RM0042</t>
  </si>
  <si>
    <t>CREAM, ELLE AND VIRE CREAM, 12/1L, KG</t>
  </si>
  <si>
    <t>RM0043</t>
  </si>
  <si>
    <t>CREAM, NON-DAIRY WHIP (AMBIANTE), 12/1L, KG</t>
  </si>
  <si>
    <t>RM0045</t>
  </si>
  <si>
    <t>CHILI SAUCE, HOT, TABASCO, 60ML/BT</t>
  </si>
  <si>
    <t>RM0046</t>
  </si>
  <si>
    <t>DEMIGLACE SAUCE MIX, 1/1KG, KG</t>
  </si>
  <si>
    <t>RM0047</t>
  </si>
  <si>
    <t>MAYONNAISE, REAL, 2/5.5KG, KG</t>
  </si>
  <si>
    <t>RM0049</t>
  </si>
  <si>
    <t>SAUCE, FISH, 12/1L, KG</t>
  </si>
  <si>
    <t>RM0051</t>
  </si>
  <si>
    <t>SAUCE, SOY SAUCE, 1/1L, KG</t>
  </si>
  <si>
    <t>RM0052</t>
  </si>
  <si>
    <t>SEASONING, AROMAT, 1/1KG, KG</t>
  </si>
  <si>
    <t>RM0054</t>
  </si>
  <si>
    <t>SEASONING,CHICKEN CUBES, 6/1.5KG, KG</t>
  </si>
  <si>
    <t>RM0055</t>
  </si>
  <si>
    <t>SEASONING,LIQUID, 1/1L, KG</t>
  </si>
  <si>
    <t>RM0057</t>
  </si>
  <si>
    <t>VINEGAR,BALSAMIC,E NOBILITAS, 12/500GM, KG</t>
  </si>
  <si>
    <t>RM0058</t>
  </si>
  <si>
    <t>VINEGAR, HEINZ DISTILLED VINEGAR(460ML/BT), KG</t>
  </si>
  <si>
    <t>RM0059</t>
  </si>
  <si>
    <t>VINEGAR, LA RIOJA RED WINE,1/250ML</t>
  </si>
  <si>
    <t>RM0060</t>
  </si>
  <si>
    <t>VINEGAR, WHITE, 4/3.735L, KG</t>
  </si>
  <si>
    <t>RM0061</t>
  </si>
  <si>
    <t>VINEGAR,CANE VINEGAR, 1/950GM, KG</t>
  </si>
  <si>
    <t>RM0063</t>
  </si>
  <si>
    <t>BUTTER, SALTED, 1/20KG, KG</t>
  </si>
  <si>
    <t>RM0065</t>
  </si>
  <si>
    <t>MARGARINE, BUTTERCUP, 1/20KG, KG</t>
  </si>
  <si>
    <t>RM0069</t>
  </si>
  <si>
    <t>(ACTIVE)SHRIMP, FRESH W/ HEAD, 40-43 PCS/KG</t>
  </si>
  <si>
    <t>RM0073</t>
  </si>
  <si>
    <t>FISH, SALMON, FRESH, WHOLE W/O HEAD &amp; TAIL, 6.0, K</t>
  </si>
  <si>
    <t>RM0074</t>
  </si>
  <si>
    <t>FISH, SOLE, 5PCS/PK, KG</t>
  </si>
  <si>
    <t>RM0075</t>
  </si>
  <si>
    <t>SHELL, CLAMS, FRESH, 14 - 18 G PER PIECE, KG</t>
  </si>
  <si>
    <t>RM0076</t>
  </si>
  <si>
    <t>SHELL, MUSSEL, FRESH,19 - 25 G PER PIECE, KG</t>
  </si>
  <si>
    <t>RM0079</t>
  </si>
  <si>
    <t>FLOUR, ALL PURPOSE, 1/25KG, KG</t>
  </si>
  <si>
    <t>RM0080</t>
  </si>
  <si>
    <t>FLOUR, BREAD FLOUR, PURE WHITE, 25KGS</t>
  </si>
  <si>
    <t>RM0081</t>
  </si>
  <si>
    <t>FLOUR, CAKE, 1/25KG, KG</t>
  </si>
  <si>
    <t>RM0082</t>
  </si>
  <si>
    <t>FLOUR, PIZZA, 1/25KG, KG</t>
  </si>
  <si>
    <t>RM0083</t>
  </si>
  <si>
    <t>FLOUR, SEMOLINA,GROUND,15.5%, 10/1KG, KG</t>
  </si>
  <si>
    <t>RM0084</t>
  </si>
  <si>
    <t>FLOUR, TYPE "00", 10/1KG, KG</t>
  </si>
  <si>
    <t>RM0085</t>
  </si>
  <si>
    <t>CHIFFON OIL, 1/17KG, KG</t>
  </si>
  <si>
    <t>RM0086</t>
  </si>
  <si>
    <t>LARD, SPRING, 1/40KG, KG</t>
  </si>
  <si>
    <t>RM0087</t>
  </si>
  <si>
    <t>OIL, CANOLA</t>
  </si>
  <si>
    <t>RM0089</t>
  </si>
  <si>
    <t>OIL OLIVE, POMACE, 4/4.5KG, L</t>
  </si>
  <si>
    <t>RM0090</t>
  </si>
  <si>
    <t>OIL, VEGETABLES, 1/16KG, L</t>
  </si>
  <si>
    <t>RM0094</t>
  </si>
  <si>
    <t>FLAVOR, CHOCO, FERNA PRIMERA, 1/500GM, KG</t>
  </si>
  <si>
    <t>RM0098</t>
  </si>
  <si>
    <t>PASTE, AL MENTA, PERNIGOTTI , 2/3KG, KG</t>
  </si>
  <si>
    <t>RM0099</t>
  </si>
  <si>
    <t>PASTE, GUIANDUIA, PERNIGOTTI, 2/6KG, KG</t>
  </si>
  <si>
    <t>RM0102</t>
  </si>
  <si>
    <t>PASTE, PISTACCIO, REGULAR, PERNIGOTTI, 1/5.5KG, KG</t>
  </si>
  <si>
    <t>RM0105</t>
  </si>
  <si>
    <t>PRALINE, HAZELNUT, FELCHLIN, 1/5KG, KG</t>
  </si>
  <si>
    <t>RM0107</t>
  </si>
  <si>
    <t>BANANA, CAVENDISH, KG</t>
  </si>
  <si>
    <t>RM0108</t>
  </si>
  <si>
    <t>FRUIT, DARK GRAPES, FRESH, KG</t>
  </si>
  <si>
    <t>RM0109</t>
  </si>
  <si>
    <t>FRUIT, LEMON, YELLOW, KG</t>
  </si>
  <si>
    <t>RM0110</t>
  </si>
  <si>
    <t>FRUIT, MANGO, CARABAO, KG</t>
  </si>
  <si>
    <t>RM0111</t>
  </si>
  <si>
    <t>FRUIT, PEAR, YELLOW, KG</t>
  </si>
  <si>
    <t>RM0112</t>
  </si>
  <si>
    <t>FRUIT, STRAWBERRY, FRESH, KG</t>
  </si>
  <si>
    <t>RM0113</t>
  </si>
  <si>
    <t>HERB, BASIL LEAVES DRY, 1/300GM, KG</t>
  </si>
  <si>
    <t>RM0114</t>
  </si>
  <si>
    <t>HERB, DRIED, BAY LEAVES, 1/200GM, KG</t>
  </si>
  <si>
    <t>RM0115</t>
  </si>
  <si>
    <t>HERB, DRIED, OREGANO LEAVES,WHOLE, 10/250GM, KG</t>
  </si>
  <si>
    <t>RM0116</t>
  </si>
  <si>
    <t>HERB, ROSEMARY, WHOLE, 1/500GM, KG</t>
  </si>
  <si>
    <t>RM0117</t>
  </si>
  <si>
    <t>HERB, SAFFRON, SPAIN, 1/1GM, KG</t>
  </si>
  <si>
    <t>RM0118</t>
  </si>
  <si>
    <t>HERB,THYME LEAVESWHOLE, KG</t>
  </si>
  <si>
    <t>RM0119</t>
  </si>
  <si>
    <t>SALT, IODIZED, 1/25KG, KG</t>
  </si>
  <si>
    <t>RM0120</t>
  </si>
  <si>
    <t>SEED, BLACK SESAME, 1/1KG</t>
  </si>
  <si>
    <t>RM0123</t>
  </si>
  <si>
    <t>HERB, CINNAMON, POWDER, 1/1KG, KG</t>
  </si>
  <si>
    <t>RM0124</t>
  </si>
  <si>
    <t>HERB, DRIED, RED PEPPER, CRUSHED, 10/500GM, KG</t>
  </si>
  <si>
    <t>RM0125</t>
  </si>
  <si>
    <t>HERB,GARLIC POWDER, 1/1KG, KG</t>
  </si>
  <si>
    <t>RM0126</t>
  </si>
  <si>
    <t>RED CAYENNE PEPPER, KG</t>
  </si>
  <si>
    <t>RM0127</t>
  </si>
  <si>
    <t>HERB, MUSTARD,PREPARED, 24/200GM, KG</t>
  </si>
  <si>
    <t>RM0128</t>
  </si>
  <si>
    <t>HERB, NUTMEG, GROUND, KG</t>
  </si>
  <si>
    <t>RM0129</t>
  </si>
  <si>
    <t>HERB,ONION POWDER, 1/1KG, KG</t>
  </si>
  <si>
    <t>RM0130</t>
  </si>
  <si>
    <t>HERB, PEPPER, BLACK, GROUND, 1/1KG, KG</t>
  </si>
  <si>
    <t>RM0131</t>
  </si>
  <si>
    <t>HERB, PEPPER, BLACK, WHOLE, 1/1KG, KG</t>
  </si>
  <si>
    <t>RM0133</t>
  </si>
  <si>
    <t>MILK, CONDENSED, 48/387GM, L</t>
  </si>
  <si>
    <t>RM0134</t>
  </si>
  <si>
    <t>MILK, EVAPORATED, 48/370GM, L</t>
  </si>
  <si>
    <t>RM0135</t>
  </si>
  <si>
    <t>MILK, FRESH, UHT, 12/1L, L</t>
  </si>
  <si>
    <t>RM0136</t>
  </si>
  <si>
    <t>MILK, POWDER, SKIMMED , MG, 1/25KG, KG</t>
  </si>
  <si>
    <t>RM0137</t>
  </si>
  <si>
    <t>MILK, WHOLE/FULL CREAM MILK POWDER,1/25KGS</t>
  </si>
  <si>
    <t>RM0140</t>
  </si>
  <si>
    <t>EGG, WHOLE LARGE, 30/55GM, PC</t>
  </si>
  <si>
    <t>RM0141</t>
  </si>
  <si>
    <t>MEAT, BEEF, GROUND, 100% FAT,KG</t>
  </si>
  <si>
    <t>RM0142</t>
  </si>
  <si>
    <t>MEAT, BEEF, GROUND, 100% LEAN MEAT,KG</t>
  </si>
  <si>
    <t>RM0143</t>
  </si>
  <si>
    <t>MEAT, CHICKEN LEG THIGH, KG</t>
  </si>
  <si>
    <t>RM0146</t>
  </si>
  <si>
    <t>MEAT, CHICKEN, WHOLE W/ NECK, DRESSED, 1-1.1KG/PC</t>
  </si>
  <si>
    <t>RM0147</t>
  </si>
  <si>
    <t>MEAT, PORK , GROUND, 100% FAT,KG</t>
  </si>
  <si>
    <t>RM0148</t>
  </si>
  <si>
    <t>MEAT, PORK , GROUND, 100% LEAN MEAT,KG</t>
  </si>
  <si>
    <t>RM0151</t>
  </si>
  <si>
    <t>MEAT, PORK KASIM SKINLESS, KG</t>
  </si>
  <si>
    <t>RM0156</t>
  </si>
  <si>
    <t>NUTS, ALMOND, SLICED,KG</t>
  </si>
  <si>
    <t>RM0157</t>
  </si>
  <si>
    <t>NUTS, CASHEW, CHOPPED, BROKEN, 1/1KG, KG</t>
  </si>
  <si>
    <t>RM0158</t>
  </si>
  <si>
    <t>NUTS, HAZELNUT, WHOLE, 1/1KG, KG</t>
  </si>
  <si>
    <t>RM0159</t>
  </si>
  <si>
    <t>NUTS, PINENUTS, WHOLE, 1/1KG, KG</t>
  </si>
  <si>
    <t>RM0160</t>
  </si>
  <si>
    <t>NUTS, PISTACHIO, WHOLE, 1/11.34KG, KG</t>
  </si>
  <si>
    <t>RM0161</t>
  </si>
  <si>
    <t>NUTS, WALNUT, WHOLE, 1/11.34KG, KG</t>
  </si>
  <si>
    <t>RM0164</t>
  </si>
  <si>
    <t>BAKING POWDER, CALUMET, DA, 1/14KG, KG</t>
  </si>
  <si>
    <t>RM0165</t>
  </si>
  <si>
    <t>BAKING SODA, KG</t>
  </si>
  <si>
    <t>RM0167</t>
  </si>
  <si>
    <t>CALCIUM PROPIONATE, 1/25KG, KG</t>
  </si>
  <si>
    <t>RM0170</t>
  </si>
  <si>
    <t>CITRIC ACID, ANHYDROUS, 1/25KG, KG</t>
  </si>
  <si>
    <t>RM0172</t>
  </si>
  <si>
    <t>COFFEE, NESCAFE GOLD, 12/100GM, KG</t>
  </si>
  <si>
    <t>RM0173</t>
  </si>
  <si>
    <t>COFFEE, NESCAFE, 30/100GM, KG</t>
  </si>
  <si>
    <t>RM0175</t>
  </si>
  <si>
    <t>CORNSTARCH, QUEEN/GOLD SEASON, 6/2KG, KG</t>
  </si>
  <si>
    <t>RM0177</t>
  </si>
  <si>
    <t>CREAM OF TARTAR, 10/1KG, KG</t>
  </si>
  <si>
    <t>RM0178</t>
  </si>
  <si>
    <t>DEXTROSE MONOHYDRATE, COSMOLOSE, 1/25KG,KG</t>
  </si>
  <si>
    <t>RM0179</t>
  </si>
  <si>
    <t>DISTILLED MONOGLYCERIDES, RIMULSOFT, 1/20KG,KG</t>
  </si>
  <si>
    <t>RM0183</t>
  </si>
  <si>
    <t>GUM, XANTHAN, CX801, CARGILL, 1/25KG, KG</t>
  </si>
  <si>
    <t>RM0184</t>
  </si>
  <si>
    <t>IMPROVER, SOFT COTTON PLUS, 10/1KG, KG</t>
  </si>
  <si>
    <t>RM0186</t>
  </si>
  <si>
    <t>MODIFIED STARCH, NATIONAL STARCH, 1/22.7KG,KG</t>
  </si>
  <si>
    <t>RM0188</t>
  </si>
  <si>
    <t>POTASSIUM SORBATE, 1/500GM, KG</t>
  </si>
  <si>
    <t>RM0189</t>
  </si>
  <si>
    <t>STABILIZER, PALSGAARD 5988, 1/20KG, KG</t>
  </si>
  <si>
    <t>RM0192</t>
  </si>
  <si>
    <t>YEAST, INSTANT, 20/500GM, KG</t>
  </si>
  <si>
    <t>RM0193</t>
  </si>
  <si>
    <t>ANCHOVY, SPEZZI DI ALICI, LA CORVINIA, 6/1.7KG, KG</t>
  </si>
  <si>
    <t>RM0194</t>
  </si>
  <si>
    <t>ARTICHOKES HEART, CAPRI, 12/390GM, KG</t>
  </si>
  <si>
    <t>RM0197</t>
  </si>
  <si>
    <t>CAPERS IN VINEGAR, CAPRI, 6/950GM, KG</t>
  </si>
  <si>
    <t>RM0198</t>
  </si>
  <si>
    <t>CHERRY, MARASCHINO W/O STEM, 12/454GM, KG</t>
  </si>
  <si>
    <t>RM0199</t>
  </si>
  <si>
    <t>CHERRY, MARASCHINO, PLAIN, 12/737GM, KG</t>
  </si>
  <si>
    <t>RM0200</t>
  </si>
  <si>
    <t>CLAMS, BABY VISINI, 24/283GM, KG</t>
  </si>
  <si>
    <t>RM0201</t>
  </si>
  <si>
    <t>COCOA POWDER, BENSDORP MR1012,1/25KGS, KG</t>
  </si>
  <si>
    <t>RM0202</t>
  </si>
  <si>
    <t>COLD CUTS, COOKED HAM, WHOLE, 1/6KG, KG</t>
  </si>
  <si>
    <t>RM0203</t>
  </si>
  <si>
    <t>COLD CUTS, PEPPERONI, KG</t>
  </si>
  <si>
    <t>RM0204</t>
  </si>
  <si>
    <t>COLD CUTS, PROSCUITTO DE PARMA, KG</t>
  </si>
  <si>
    <t>RM0206</t>
  </si>
  <si>
    <t>COLDCUTS, BACON, 22/200GM, KG</t>
  </si>
  <si>
    <t>RM0208</t>
  </si>
  <si>
    <t>CRUMBS, JAPANESE BREAD, 20/1KG, KG</t>
  </si>
  <si>
    <t>RM0209</t>
  </si>
  <si>
    <t>CRUMBS, ORDINARY BREAD, 1/500GM, KG</t>
  </si>
  <si>
    <t>RM0211</t>
  </si>
  <si>
    <t>DURIAN, MASH, FRESH FROZEN, KG</t>
  </si>
  <si>
    <t>RM0212</t>
  </si>
  <si>
    <t>BLUEBERRY, FROZEN (IQF), 10/1KG, KG</t>
  </si>
  <si>
    <t>RM0216</t>
  </si>
  <si>
    <t>MUSHROOM, PORCINI, DRY, 10/500GM, KG</t>
  </si>
  <si>
    <t>RM0217</t>
  </si>
  <si>
    <t>MUSHROOMS, PIECES &amp; STEMS,CANNED, 6/2.84KG, KG</t>
  </si>
  <si>
    <t>RM0218</t>
  </si>
  <si>
    <t>OLIVES, BLACK SLICED, 6/3.05KG, KG</t>
  </si>
  <si>
    <t>RM0224</t>
  </si>
  <si>
    <t>SHITAKE MUSHROOM, 1/3KG, KG</t>
  </si>
  <si>
    <t>RM0226</t>
  </si>
  <si>
    <t>SPINACH LEAF, FROZEN, CANNELLONI, 4/2.5KG, KG</t>
  </si>
  <si>
    <t>RM0227</t>
  </si>
  <si>
    <t>STRAWBERRY, FROZEN (IQF), 4/2.5KG, KG</t>
  </si>
  <si>
    <t>RM0229</t>
  </si>
  <si>
    <t>TOMATO, MASHED, PASSATA , 12/690GM, KG</t>
  </si>
  <si>
    <t>RM0230</t>
  </si>
  <si>
    <t>TOMATO, PASTE, LA CORVINIA 22/24 %, 24/400GM, KG</t>
  </si>
  <si>
    <t>RM0231</t>
  </si>
  <si>
    <t>TOMATO, PIZZA SAUCE, 3/4KG, KG</t>
  </si>
  <si>
    <t>RM0232</t>
  </si>
  <si>
    <t>TOMATO, WHOLE PEELED, 6/2.55KG, KG</t>
  </si>
  <si>
    <t>RM0234</t>
  </si>
  <si>
    <t>PASTA, INSTANT CANNELLONI, 12/250GM, KG</t>
  </si>
  <si>
    <t>RM0235</t>
  </si>
  <si>
    <t>RICE, ARBORIO, TARANTOLA, 12/1KG, KG</t>
  </si>
  <si>
    <t>RM0236</t>
  </si>
  <si>
    <t>GLAZE,NUETRAL COLORADO X 1/15KG, KG</t>
  </si>
  <si>
    <t>RM0237</t>
  </si>
  <si>
    <t>GLAZE, NUETRAL, PURATOS MIROIR, 1/5KG, KG</t>
  </si>
  <si>
    <t>RM0238</t>
  </si>
  <si>
    <t>GLAZE, SUBLIMO, KG</t>
  </si>
  <si>
    <t>RM0240</t>
  </si>
  <si>
    <t>HONEY, 12/0.68KG, KG</t>
  </si>
  <si>
    <t>RM0242</t>
  </si>
  <si>
    <t>TOPPINGS, COTTEES STRAWBERRY, 10/2KG, KG</t>
  </si>
  <si>
    <t>RM0245</t>
  </si>
  <si>
    <t>BIANCA POWDER, 10/1KG, KG</t>
  </si>
  <si>
    <t>RM0246</t>
  </si>
  <si>
    <t>SUGAR, CONFECTIONARY, PEOTRACO, 22/2.272KG, KG</t>
  </si>
  <si>
    <t>RM0249</t>
  </si>
  <si>
    <t>SUGAR, REFINED WHITE, 1/50KG, KG</t>
  </si>
  <si>
    <t>RM0250</t>
  </si>
  <si>
    <t>SYRUP, HIGH FRUCTOSE CORN, 1/25KG, KG</t>
  </si>
  <si>
    <t>RM0251</t>
  </si>
  <si>
    <t>SYRUP,LIQUID GLUCOSE, 1/20KG, KG</t>
  </si>
  <si>
    <t>RM0252</t>
  </si>
  <si>
    <t>GARLIC, WHOLE(UNPEELED), KG</t>
  </si>
  <si>
    <t>RM0253</t>
  </si>
  <si>
    <t>VEG, ARUGULA FRESH, KG</t>
  </si>
  <si>
    <t>RM0255</t>
  </si>
  <si>
    <t>VEG, BEANS BAGUIO, KG</t>
  </si>
  <si>
    <t>RM0256</t>
  </si>
  <si>
    <t>VEG, BELL PEPPER, RED -GREEN, KG</t>
  </si>
  <si>
    <t>RM0257</t>
  </si>
  <si>
    <t>VEG, BROCOLLI, KG</t>
  </si>
  <si>
    <t>RM0258</t>
  </si>
  <si>
    <t>RM0259</t>
  </si>
  <si>
    <t>VEG, CALAMANSI, KG</t>
  </si>
  <si>
    <t>RM0260</t>
  </si>
  <si>
    <t>VEG, CARROTS, KG</t>
  </si>
  <si>
    <t>RM0261</t>
  </si>
  <si>
    <t>VEG, CELERY, KG</t>
  </si>
  <si>
    <t>RM0263</t>
  </si>
  <si>
    <t>VEG, CHILI, LABUYO, KG</t>
  </si>
  <si>
    <t>RM0264</t>
  </si>
  <si>
    <t>VEG, CUCUMBER, FRESH KG</t>
  </si>
  <si>
    <t>RM0265</t>
  </si>
  <si>
    <t>VEG, EGGPLANT, FRESH, KG</t>
  </si>
  <si>
    <t>RM0267</t>
  </si>
  <si>
    <t>VEG, GARLIC, PEELED, TAIWAN, KG</t>
  </si>
  <si>
    <t>RM0268</t>
  </si>
  <si>
    <t>VEG, GINGER, NATIVE, KG</t>
  </si>
  <si>
    <t>RM0269</t>
  </si>
  <si>
    <t>VEG, GREEN BELL PEPPER, CAPSICUM, KG</t>
  </si>
  <si>
    <t>RM0270</t>
  </si>
  <si>
    <t>HERBS, BASIL LEAVES, FRESH, KG</t>
  </si>
  <si>
    <t>RM0271</t>
  </si>
  <si>
    <t>HERBS, MINT LEAVES, FRESH, KG</t>
  </si>
  <si>
    <t>RM0272</t>
  </si>
  <si>
    <t>HERBS, PARSLEY LEAVES, FRESH, KG</t>
  </si>
  <si>
    <t>RM0273</t>
  </si>
  <si>
    <t>HERBS, ROSEMARY, FRESH, KG</t>
  </si>
  <si>
    <t>RM0274</t>
  </si>
  <si>
    <t>HERBS, THYME, FRESH, KG</t>
  </si>
  <si>
    <t>RM0275</t>
  </si>
  <si>
    <t>VEG, ONION, LEEKS, KG</t>
  </si>
  <si>
    <t>RM0276</t>
  </si>
  <si>
    <t>VEG, ONION, RED, KG</t>
  </si>
  <si>
    <t>RM0277</t>
  </si>
  <si>
    <t>VEG, ONION, SPRING, KG</t>
  </si>
  <si>
    <t>RM0278</t>
  </si>
  <si>
    <t>VEG, ONION, WHITE, KG</t>
  </si>
  <si>
    <t>RM0279</t>
  </si>
  <si>
    <t>VEG, PECHAY TAGALOG, KG</t>
  </si>
  <si>
    <t>RM0280</t>
  </si>
  <si>
    <t>PORTOBELLO MUSHROOM, KG</t>
  </si>
  <si>
    <t>RM0281</t>
  </si>
  <si>
    <t>VEG, POTATO, KG</t>
  </si>
  <si>
    <t>RM0282</t>
  </si>
  <si>
    <t>VEG, RED BELL PEPPER, CAPSICUM, KG</t>
  </si>
  <si>
    <t>RM0283</t>
  </si>
  <si>
    <t>VEG, SPINACH LEAVES, FRESH, KG</t>
  </si>
  <si>
    <t>RM0284</t>
  </si>
  <si>
    <t>VEG, SQUASH, KG</t>
  </si>
  <si>
    <t>RM0285</t>
  </si>
  <si>
    <t>VEG, TOMATO, KG</t>
  </si>
  <si>
    <t>RM0287</t>
  </si>
  <si>
    <t>VEG, ZUCCHINI, FRESH, KG</t>
  </si>
  <si>
    <t>RM0288</t>
  </si>
  <si>
    <t>LIQOUR, COFFEE, KAHLUA,  1/700ML, KG</t>
  </si>
  <si>
    <t>RM0289</t>
  </si>
  <si>
    <t>LIQUOR, FUNDADOR SOLERA, 1/700ML, L</t>
  </si>
  <si>
    <t>RM0290</t>
  </si>
  <si>
    <t>LIQUOR, RHUM, TANDUAY 5 YEARS, 1/750ML, KG</t>
  </si>
  <si>
    <t>RM0291</t>
  </si>
  <si>
    <t>LIQUOR, SAN MIGUEL BEER PP, 6/1L, L</t>
  </si>
  <si>
    <t>RM0292</t>
  </si>
  <si>
    <t>PAPRIKA</t>
  </si>
  <si>
    <t>RM0293</t>
  </si>
  <si>
    <t>OIL, PURE SESAME, 1/210ML</t>
  </si>
  <si>
    <t>RM0294</t>
  </si>
  <si>
    <t>FRUIT TOPPING, BLUEBERRY, 1/5KG, KG</t>
  </si>
  <si>
    <t>RM0295</t>
  </si>
  <si>
    <t>COOKIE, MEC3 COOKIE VARIEGATE, KG</t>
  </si>
  <si>
    <t>RM0297</t>
  </si>
  <si>
    <t>LIQUOR, BAILEYS IRISH CREAM, 1/750ML, KG</t>
  </si>
  <si>
    <t>RM0302</t>
  </si>
  <si>
    <t>COCOA POWDER, BREAKFAST COCOA, RICOA, 12/160GM, KG</t>
  </si>
  <si>
    <t>RM0309</t>
  </si>
  <si>
    <t>FLAVOR, VANILLA, MCCORMICK/BRITE EXTRA, 1/3.78L,KG</t>
  </si>
  <si>
    <t>RM0320</t>
  </si>
  <si>
    <t>GELATINE,CLEAR UNFLAVORED TECH KOREA 220/20, 1/20KG, KG</t>
  </si>
  <si>
    <t>RM0321</t>
  </si>
  <si>
    <t>BISCUITS,GRAHAM CRUSHED, 12/1KG, KG</t>
  </si>
  <si>
    <t>RM0322</t>
  </si>
  <si>
    <t>COCOA POWDER,DE ZAAN 350-DP-11, 1/25KGS, KG</t>
  </si>
  <si>
    <t>RM0323</t>
  </si>
  <si>
    <t>TOMATO, PASTE, 6/4.5KG, KG</t>
  </si>
  <si>
    <t>RM0324</t>
  </si>
  <si>
    <t>NUTS, PECAN, 13.63KGS/CS, KG</t>
  </si>
  <si>
    <t>RM0325</t>
  </si>
  <si>
    <t>SYRUP, MOLASSES MILD FLAVOR BRER RABBIT, 12/355ML (12OZ), KG</t>
  </si>
  <si>
    <t>RM0326</t>
  </si>
  <si>
    <t>OATS, QUICK-COOKING(AUSTRALIAN HARVEST), 15/1KG, KG</t>
  </si>
  <si>
    <t>RM0327</t>
  </si>
  <si>
    <t>FROZEN, SQUID RING(CALAMARIS), 1KG/PACK, KG</t>
  </si>
  <si>
    <t>RM0328</t>
  </si>
  <si>
    <t>SUGAR, DARK BROWN, 1/50KGS, KG</t>
  </si>
  <si>
    <t>RM0330</t>
  </si>
  <si>
    <t>MEAT, BEEF BRISKET, KG</t>
  </si>
  <si>
    <t>RM0331</t>
  </si>
  <si>
    <t xml:space="preserve"> LEA PERRINS WORCESTERSHIRE SAUCE, KG</t>
  </si>
  <si>
    <t>RM0332</t>
  </si>
  <si>
    <t>CREAM,SOUR CREAM 1/3.8KGS, KG</t>
  </si>
  <si>
    <t>RM0337</t>
  </si>
  <si>
    <t>WINE, COOKING, MIRIN, 300ML/BT, LT</t>
  </si>
  <si>
    <t>RM0338</t>
  </si>
  <si>
    <t>SEASONING, HICKORY LIQUID SMOKE, 1LT/BT, LT</t>
  </si>
  <si>
    <t>RM0340</t>
  </si>
  <si>
    <t>FRUIT, MELON-CANTALOUPE, KG</t>
  </si>
  <si>
    <t>RM0341</t>
  </si>
  <si>
    <t>FRUIT, WATERMELON-SWEET BABY, KG</t>
  </si>
  <si>
    <t>RM0342</t>
  </si>
  <si>
    <t xml:space="preserve"> MEAT,PORK BELLY(125-135G/PC), KG</t>
  </si>
  <si>
    <t>RM0343</t>
  </si>
  <si>
    <t>CHEESE,PARMESAN GRATED, 5/2KG, KG</t>
  </si>
  <si>
    <t>RM0344</t>
  </si>
  <si>
    <t>VEGETABLE, LETTUCE, ROMAINE</t>
  </si>
  <si>
    <t>RM0345</t>
  </si>
  <si>
    <t>VEGETABLE, LETTUCE, GREEN ICE</t>
  </si>
  <si>
    <t>RM0346</t>
  </si>
  <si>
    <t>VEGETABLE, LETTUCE, LOLLO ROSSA RED</t>
  </si>
  <si>
    <t>RM0349</t>
  </si>
  <si>
    <t>VEG, POTATO MARBLE</t>
  </si>
  <si>
    <t>RM0350</t>
  </si>
  <si>
    <t>FRUIT, KIWI</t>
  </si>
  <si>
    <t>RM0352</t>
  </si>
  <si>
    <t>SALT, ROCK SALT</t>
  </si>
  <si>
    <t>RM0353</t>
  </si>
  <si>
    <t>FRUIT, LIME</t>
  </si>
  <si>
    <t>RM0355</t>
  </si>
  <si>
    <t xml:space="preserve">AMERICAN PORK RIBS </t>
  </si>
  <si>
    <t>RM0356</t>
  </si>
  <si>
    <t>CREAM OF MUSHROOM CAMPBELL’S, 290 GRAMS/CAN</t>
  </si>
  <si>
    <t>RM0357</t>
  </si>
  <si>
    <t>DM TOMATO ORIGINAL CATSUP 20OZ</t>
  </si>
  <si>
    <t>RM0359</t>
  </si>
  <si>
    <t xml:space="preserve">GARLIC POWDER (250GMS) </t>
  </si>
  <si>
    <t>RM0360</t>
  </si>
  <si>
    <t xml:space="preserve">DRIED OREGANO (10GMS)   </t>
  </si>
  <si>
    <t>RM0362</t>
  </si>
  <si>
    <t>FLAVOR , CARAMEL CA-014038.02</t>
  </si>
  <si>
    <t>RM0364</t>
  </si>
  <si>
    <t>COMPOUND CHOCOLATE, DELICATESSE D-SWEET, ACCESSORY</t>
  </si>
  <si>
    <t>RM0367</t>
  </si>
  <si>
    <t>CHOCOLATE , DARK CHIPS BAKE STABLE , KG</t>
  </si>
  <si>
    <t>RM0368</t>
  </si>
  <si>
    <t>MEC3 BASE 6 STABILIZER 1/6KGS</t>
  </si>
  <si>
    <t>RM0369</t>
  </si>
  <si>
    <t>MEC3 FORESTA NERA KIRSCH</t>
  </si>
  <si>
    <t>RM0371</t>
  </si>
  <si>
    <t>FM</t>
  </si>
  <si>
    <t>FORESTA NERA KIRSCH (LAYERING)</t>
  </si>
  <si>
    <t>RM0372</t>
  </si>
  <si>
    <t>CREMYVIT CUSTRAD POWDER</t>
  </si>
  <si>
    <t>RM0373</t>
  </si>
  <si>
    <t>VEG, SHALLOT/PURPLE RED ONION</t>
  </si>
  <si>
    <t>RM0374</t>
  </si>
  <si>
    <t>CHOCOLATE, COMPOUND, WHITE, BLOCK</t>
  </si>
  <si>
    <t>RM0375</t>
  </si>
  <si>
    <t>CHOCOLATE, COMPOUND, GREEN</t>
  </si>
  <si>
    <t>RM0376</t>
  </si>
  <si>
    <t>COLOURING, POWDER, CARAMEL, FHI-15-NYR-15298</t>
  </si>
  <si>
    <t>RM0377</t>
  </si>
  <si>
    <t>SQUID, BABY 1-4" FRESH</t>
  </si>
  <si>
    <t>RM0378</t>
  </si>
  <si>
    <t>CHEESE, ASIAGO WEDGE</t>
  </si>
  <si>
    <t>RM0379</t>
  </si>
  <si>
    <t>SQUID INK, FRESH</t>
  </si>
  <si>
    <t>RM0380</t>
  </si>
  <si>
    <t>FLAVOR, GREEN TEA, POWDER</t>
  </si>
  <si>
    <t>RM0382</t>
  </si>
  <si>
    <t>CHOCOLATE, COMPOUND WHITE, SELBOURNE</t>
  </si>
  <si>
    <t>RM0383</t>
  </si>
  <si>
    <t xml:space="preserve">Herb,Labuyo Chili, Red </t>
  </si>
  <si>
    <t>RM0384</t>
  </si>
  <si>
    <t>COLOURING, POWDER CARAMEL FHI#15-NYR-15283</t>
  </si>
  <si>
    <t>RM0386</t>
  </si>
  <si>
    <t>RM0387</t>
  </si>
  <si>
    <t>CHOCOLATE, COMPOUND, YELLOW</t>
  </si>
  <si>
    <t>RM0390</t>
  </si>
  <si>
    <t>FLOUR, PIZZA , SAN MIGUEL, 1/25/KG</t>
  </si>
  <si>
    <t>RM0391</t>
  </si>
  <si>
    <t>SRIRACHA, CHOLIMEX</t>
  </si>
  <si>
    <t>RM0392</t>
  </si>
  <si>
    <t>MEAT, CHUNK PORK KASIM SKIN</t>
  </si>
  <si>
    <t>RM0393</t>
  </si>
  <si>
    <t>ACTI-FRESH PO 14</t>
  </si>
  <si>
    <t>RM0394</t>
  </si>
  <si>
    <t>Chocolate, Callets Couverture White W2</t>
  </si>
  <si>
    <t>RM0395</t>
  </si>
  <si>
    <t>Chocolate, Callets Couverture  Milk 823</t>
  </si>
  <si>
    <t>RM0396</t>
  </si>
  <si>
    <t>Mini White Marshmallow</t>
  </si>
  <si>
    <t>RM0397</t>
  </si>
  <si>
    <t>RM0398</t>
  </si>
  <si>
    <t>CHEESE, CHEDDAR</t>
  </si>
  <si>
    <t>RM0399</t>
  </si>
  <si>
    <t>RM0400</t>
  </si>
  <si>
    <t>NUTS, CASHEW SPLIT</t>
  </si>
  <si>
    <t>RM0401</t>
  </si>
  <si>
    <t>COCOA POWDER, BENSDORP 10/12 SR</t>
  </si>
  <si>
    <t>RM0402</t>
  </si>
  <si>
    <t>FLAVOR, UBE LIQUID code : 15-LOS-M-10033</t>
  </si>
  <si>
    <t>RM0403</t>
  </si>
  <si>
    <t>COLOURING, VIOLET (LIQUID)</t>
  </si>
  <si>
    <t>RM0404</t>
  </si>
  <si>
    <t>UBER ROOT CROP</t>
  </si>
  <si>
    <t>RM0405</t>
  </si>
  <si>
    <t>COLDCUTS, SALAME MILANO</t>
  </si>
  <si>
    <t>RM0406</t>
  </si>
  <si>
    <t>HERD, DILL LEAVES FRESH</t>
  </si>
  <si>
    <t>RM0407</t>
  </si>
  <si>
    <t>MILK , CONDENSED , ALASKA</t>
  </si>
  <si>
    <t>RM0408</t>
  </si>
  <si>
    <t>PURE VANILLA PASTE</t>
  </si>
  <si>
    <t>RM0409</t>
  </si>
  <si>
    <t>COLOURING LIQUID, CARAMEL FHI#15-NYR-15310</t>
  </si>
  <si>
    <t>RM0410</t>
  </si>
  <si>
    <t>UBE CUBE, FROZEN</t>
  </si>
  <si>
    <t>RM0411</t>
  </si>
  <si>
    <t>SEASONING, CHICKEN STOCK</t>
  </si>
  <si>
    <t>RM0412</t>
  </si>
  <si>
    <t>COCOA POWDER , DUTCH 4691</t>
  </si>
  <si>
    <t>RM0413</t>
  </si>
  <si>
    <t>SEASONING, POWDER CHICKEN STOCK</t>
  </si>
  <si>
    <t>RM0414</t>
  </si>
  <si>
    <t>MEAT,CHICKEN, WHOLE w/o NECK,DRESSEED ,0.9-1KG/PC , FRESH CHILLED</t>
  </si>
  <si>
    <t>RM0415</t>
  </si>
  <si>
    <t>EGG, POWDER WHITE</t>
  </si>
  <si>
    <t>RM0416</t>
  </si>
  <si>
    <t>SOYA LECITHIN</t>
  </si>
  <si>
    <t>RM0417</t>
  </si>
  <si>
    <t>CHOCOLATE,WHITE COMPOUND TULIP</t>
  </si>
  <si>
    <t>RM0418</t>
  </si>
  <si>
    <t>CHOCOLATE, VIOLET COMPOUND</t>
  </si>
  <si>
    <t>RM0419</t>
  </si>
  <si>
    <t>PEANUT BUTTER CLASSIC</t>
  </si>
  <si>
    <t>RM0420</t>
  </si>
  <si>
    <t>FLAVOR, ALMOND McCORMICK 475ml</t>
  </si>
  <si>
    <t>LTR</t>
  </si>
  <si>
    <t>RM0421</t>
  </si>
  <si>
    <t>RM0422</t>
  </si>
  <si>
    <t>LIQUOR, NOCELLO TOSCHI</t>
  </si>
  <si>
    <t>RM0423</t>
  </si>
  <si>
    <t>CREAM, ALL PURPOSE, NESTLE, L</t>
  </si>
  <si>
    <t>RM0424</t>
  </si>
  <si>
    <t>RM0425</t>
  </si>
  <si>
    <t>COLOURING , POWDER VIIOLET, NECO</t>
  </si>
  <si>
    <t>RM0426</t>
  </si>
  <si>
    <t xml:space="preserve">COLOUIRNG , BLUE McCORMICK </t>
  </si>
  <si>
    <t>RM0427</t>
  </si>
  <si>
    <t xml:space="preserve">OIL, CORN </t>
  </si>
  <si>
    <t>RM0428</t>
  </si>
  <si>
    <t>FLAVOR, PISTACHIO FHI# 20-LOS-M-0137</t>
  </si>
  <si>
    <t>RM0429</t>
  </si>
  <si>
    <t>COLOURING, POWDER BLACK FHI# 16-PCLR-6034-AJ1</t>
  </si>
  <si>
    <t>RM0430</t>
  </si>
  <si>
    <t xml:space="preserve">FLAVOR, STRAWBERRY,  FERNA PRIMERA </t>
  </si>
  <si>
    <t>RM0431</t>
  </si>
  <si>
    <t>DAIRY, VIVO TOPPING ACE AMBIENT 12/1.1Liters</t>
  </si>
  <si>
    <t>RM0432</t>
  </si>
  <si>
    <t>OIL OLIVE,  POMACE, 4/5L</t>
  </si>
  <si>
    <t>RM0433</t>
  </si>
  <si>
    <t>RM0434</t>
  </si>
  <si>
    <t>RM0435</t>
  </si>
  <si>
    <t>COLOURING, RED, MCCORNICK(LIQUID), 1/500GM</t>
  </si>
  <si>
    <t>RM0436</t>
  </si>
  <si>
    <t>FLAVOR, VANILLA, MCCORMICK/BRITE EXTRA, 1/3.78L</t>
  </si>
  <si>
    <t>RM0437</t>
  </si>
  <si>
    <t>RM0438</t>
  </si>
  <si>
    <t>RM0439</t>
  </si>
  <si>
    <t>RM0440</t>
  </si>
  <si>
    <t>RM0441</t>
  </si>
  <si>
    <t>RM0442</t>
  </si>
  <si>
    <t>RM0443</t>
  </si>
  <si>
    <t>VINEGAR , RED WINE</t>
  </si>
  <si>
    <t>RM0444</t>
  </si>
  <si>
    <t>DM TOMATO ORIGINAL BLEND CATSUP</t>
  </si>
  <si>
    <t>RM0445</t>
  </si>
  <si>
    <t>VINEGAR, WHITE DATU PUTI</t>
  </si>
  <si>
    <t>RM0446</t>
  </si>
  <si>
    <t>VINEGAR,BALSAMIC</t>
  </si>
  <si>
    <t>RM0447</t>
  </si>
  <si>
    <t>C*dry MD 01909 Maltodextrin 1/25kg</t>
  </si>
  <si>
    <t>RM0448</t>
  </si>
  <si>
    <t>FROZEN, RASPBERRY</t>
  </si>
  <si>
    <t>RM0449</t>
  </si>
  <si>
    <t>FROZEN, BLACKBERRY</t>
  </si>
  <si>
    <t>RM0450</t>
  </si>
  <si>
    <t>RIPLEX IF-22B STABILIZER EMULSIFIER 1/20KG</t>
  </si>
  <si>
    <t>RM0451</t>
  </si>
  <si>
    <t>FRENCH BEANS  VEGETABLE, FRESH</t>
  </si>
  <si>
    <t>RM0452</t>
  </si>
  <si>
    <t>BABYBACK RIBS</t>
  </si>
  <si>
    <t>RM0453</t>
  </si>
  <si>
    <t>CHOCOLATE, JAVA CHIPS c22, DARK SEMI SWEET, 1/10KG/PK</t>
  </si>
  <si>
    <t>RM0454</t>
  </si>
  <si>
    <t xml:space="preserve">CHOCOLATE, DARK INTENSE  COMPOUND BLOCK VAN HOUTEN </t>
  </si>
  <si>
    <t>RM0455</t>
  </si>
  <si>
    <t>VAN HOUTEN INTENSE DARK CHOCOLATE, 1 KG/BLOCK, KG</t>
  </si>
  <si>
    <t>RM0456</t>
  </si>
  <si>
    <t>NUTS, HAZELNUT WHOLE</t>
  </si>
  <si>
    <t>RM0457</t>
  </si>
  <si>
    <t>CHOCOLATE, FERRERO ROCHER</t>
  </si>
  <si>
    <t>RM0458</t>
  </si>
  <si>
    <t>VEGETABLE, CILANTRO</t>
  </si>
  <si>
    <t>RM0459</t>
  </si>
  <si>
    <t>COLOURING, CHOCO BROWN LIQUID</t>
  </si>
  <si>
    <t>RM0460</t>
  </si>
  <si>
    <t>BISCUIT, FEUILLETINE FINE CRUMBLE,CALLEBAUT, 1/2.5KG</t>
  </si>
  <si>
    <t>RM0461</t>
  </si>
  <si>
    <t>NUTS, ALMOND WHOLE RAW,1/1KG</t>
  </si>
  <si>
    <t>RM0462</t>
  </si>
  <si>
    <t>CHOCOLATE, VAN HOUTEN SEMI SWEET DARK COMPOUND</t>
  </si>
  <si>
    <t>RM0463</t>
  </si>
  <si>
    <t>SEASONING, CAJUN</t>
  </si>
  <si>
    <t>RM0464</t>
  </si>
  <si>
    <t>PEACH HALVES IN SYRUP</t>
  </si>
  <si>
    <t>RM0465</t>
  </si>
  <si>
    <t xml:space="preserve">MALTESERS </t>
  </si>
  <si>
    <t>RM0466</t>
  </si>
  <si>
    <t>FRUTAFIT TEX INULIN</t>
  </si>
  <si>
    <t>RM0467</t>
  </si>
  <si>
    <t>DISTILLED GLYCERIN MONOSTEARATE (DMG95</t>
  </si>
  <si>
    <t>RM0474</t>
  </si>
  <si>
    <t>OIL, PALM OLEIN - 17KG X 1CAN</t>
  </si>
  <si>
    <t>RM0473</t>
  </si>
  <si>
    <t>INGREDIENT, MUSHROOM PIECES &amp; STEM 400G - 24CAN X 1CS</t>
  </si>
  <si>
    <t>FM0001</t>
  </si>
  <si>
    <t>CARROTS, CHOPPED, KG</t>
  </si>
  <si>
    <t>FM0002</t>
  </si>
  <si>
    <t>ONION, WHITE CHOPPED, KG</t>
  </si>
  <si>
    <t>FM0003</t>
  </si>
  <si>
    <t>CELERY, TRIMMED &amp; CHOPPED, KG</t>
  </si>
  <si>
    <t>FM0004</t>
  </si>
  <si>
    <t>BELL PEPPER TRIMMED &amp; CHOPPED, KG</t>
  </si>
  <si>
    <t>FM0005</t>
  </si>
  <si>
    <t>MUSHROOM, DRAINED, KG</t>
  </si>
  <si>
    <t>FM0006</t>
  </si>
  <si>
    <t>TOMATO SAUCE, PASSATA, RECOVERED, KG</t>
  </si>
  <si>
    <t>FM0007</t>
  </si>
  <si>
    <t>TOMATO MASHED, WHOLE, KG</t>
  </si>
  <si>
    <t>FM0008</t>
  </si>
  <si>
    <t>TOMATO PASTE, RECOVERD, KG</t>
  </si>
  <si>
    <t>FM0009</t>
  </si>
  <si>
    <t>ANCHOVIES - OIL, RECOVERED, KG (BY-PRO)</t>
  </si>
  <si>
    <t>FM0010</t>
  </si>
  <si>
    <t>ANCHOVY MEAT, RECOVERED, KG</t>
  </si>
  <si>
    <t>FM0011</t>
  </si>
  <si>
    <t>CLAM MEAT, DRAINED, KG</t>
  </si>
  <si>
    <t>FM0012</t>
  </si>
  <si>
    <t>CLAM WATER, RECOVERED, KG (BY-PRO)</t>
  </si>
  <si>
    <t>FM0013</t>
  </si>
  <si>
    <t>ONION, WHITE, SLICED, KG</t>
  </si>
  <si>
    <t>FM0014</t>
  </si>
  <si>
    <t>BELL PEPPER, SLICED, KG</t>
  </si>
  <si>
    <t>FM0015</t>
  </si>
  <si>
    <t>BOILED CLAMS , KG</t>
  </si>
  <si>
    <t>FM0016</t>
  </si>
  <si>
    <t>CLAM STOCKS, KG ( BY-PRO)</t>
  </si>
  <si>
    <t>FM0017</t>
  </si>
  <si>
    <t>PARSLEY, TRIMMED &amp; CHOPPED, KG</t>
  </si>
  <si>
    <t>FM0018</t>
  </si>
  <si>
    <t>SPINACH, DRAINED, PRESSED, KG</t>
  </si>
  <si>
    <t>FM0019</t>
  </si>
  <si>
    <t>OLIVES, WHOLE, DRAINED, KG</t>
  </si>
  <si>
    <t>FM0020</t>
  </si>
  <si>
    <t>OLIVES, SLICED, DRAINED, KG</t>
  </si>
  <si>
    <t>FM0021</t>
  </si>
  <si>
    <t>CAPERS, DRAINED, KG</t>
  </si>
  <si>
    <t>FM0022</t>
  </si>
  <si>
    <t>GARLIC,  CHOPPED, KG</t>
  </si>
  <si>
    <t>FM0023</t>
  </si>
  <si>
    <t>WATER, TAP, POTABLE, KG</t>
  </si>
  <si>
    <t>FM0024</t>
  </si>
  <si>
    <t>CHICKEN NECK, KG ( BY-PRO)</t>
  </si>
  <si>
    <t>FM0025</t>
  </si>
  <si>
    <t>CHICKEN W/ O NECK, KG</t>
  </si>
  <si>
    <t>FM0026</t>
  </si>
  <si>
    <t>GRATED MOZARELLA CHEESE, KG</t>
  </si>
  <si>
    <t>FM0027</t>
  </si>
  <si>
    <t>BASIL, TRIMMED, KG</t>
  </si>
  <si>
    <t>FM0028</t>
  </si>
  <si>
    <t>ARTICHOKES, DRAINED, KG</t>
  </si>
  <si>
    <t>FM0029</t>
  </si>
  <si>
    <t>POTATO, CHOPPED, KG</t>
  </si>
  <si>
    <t>FM0030</t>
  </si>
  <si>
    <t>ZUCCHINI, CHOPPED, KG</t>
  </si>
  <si>
    <t>FM0031</t>
  </si>
  <si>
    <t>BEANS, BAGUIO, TRIMMED, SLICED, KG</t>
  </si>
  <si>
    <t>FM0032</t>
  </si>
  <si>
    <t>POTATO WATER, BY- PRODUCT, KG</t>
  </si>
  <si>
    <t>FM0033</t>
  </si>
  <si>
    <t>FISH SALMON MEAT, KG</t>
  </si>
  <si>
    <t>FM0034</t>
  </si>
  <si>
    <t>CANNED TUNA, DRAINED, KG</t>
  </si>
  <si>
    <t>FM0035</t>
  </si>
  <si>
    <t>ONION RED(CHOPPED), KG</t>
  </si>
  <si>
    <t>FM0036</t>
  </si>
  <si>
    <t>THAWED SOLE FISH, KG</t>
  </si>
  <si>
    <t>FM0037</t>
  </si>
  <si>
    <t>LEMON JUICE, KG</t>
  </si>
  <si>
    <t>FM0038</t>
  </si>
  <si>
    <t>SPINACH DRAINED PRESSED (LEAF), KG</t>
  </si>
  <si>
    <t>FM0039</t>
  </si>
  <si>
    <t>FILLINGS, CANNELLONI FILLINGS, KG</t>
  </si>
  <si>
    <t>FM0040</t>
  </si>
  <si>
    <t>CHILLI OIL, KG</t>
  </si>
  <si>
    <t>FM0041</t>
  </si>
  <si>
    <t>SPINACH RAVIOLI FILLING, KG</t>
  </si>
  <si>
    <t>FM0042</t>
  </si>
  <si>
    <t>MORTADELLA TORTELLINI (FILLING), KG</t>
  </si>
  <si>
    <t>FM0043</t>
  </si>
  <si>
    <t>GRATED GRANA PADANO, KG</t>
  </si>
  <si>
    <t>FM0044</t>
  </si>
  <si>
    <t>BLUEBERRY PASTE, KG</t>
  </si>
  <si>
    <t>FM0045</t>
  </si>
  <si>
    <t>STRAWBERRY PASTE, KG</t>
  </si>
  <si>
    <t>FM0046</t>
  </si>
  <si>
    <t>MANGO PASTE, KG</t>
  </si>
  <si>
    <t>FM0047</t>
  </si>
  <si>
    <t>STRACIATELLA SYRUP, KG</t>
  </si>
  <si>
    <t>FM0048</t>
  </si>
  <si>
    <t>FRESH MANGO, CHOPPED</t>
  </si>
  <si>
    <t>FM0049</t>
  </si>
  <si>
    <t>ALMOND FLAKES, BAKED</t>
  </si>
  <si>
    <t>FM0050</t>
  </si>
  <si>
    <t>WALNUTS, BAKED, CHOPPED</t>
  </si>
  <si>
    <t>FM0051</t>
  </si>
  <si>
    <t>HAZELNUT, BAKED, CHOPPED</t>
  </si>
  <si>
    <t>FM0052</t>
  </si>
  <si>
    <t>PISTACHIO, BAKED, CHOPPED</t>
  </si>
  <si>
    <t>FM0053</t>
  </si>
  <si>
    <t>CASHEW BROKEN, BAKED, KG</t>
  </si>
  <si>
    <t>FM0054</t>
  </si>
  <si>
    <t>BANANA PASTE, KG</t>
  </si>
  <si>
    <t>FM0055</t>
  </si>
  <si>
    <t>CRUST, CHOCO COOKIE, PC</t>
  </si>
  <si>
    <t>FM0056</t>
  </si>
  <si>
    <t>CHOCO MARBLE SQUARE, PC</t>
  </si>
  <si>
    <t>FM0057</t>
  </si>
  <si>
    <t>CRUST, GELATO CAKE PC</t>
  </si>
  <si>
    <t>FM0058</t>
  </si>
  <si>
    <t>CHERRY &amp; NUTS LIQUOR-BY PRODUCT, KG</t>
  </si>
  <si>
    <t>FM0059</t>
  </si>
  <si>
    <t>NSA STRAWBERRY PASTE, KG</t>
  </si>
  <si>
    <t>FM0060</t>
  </si>
  <si>
    <t>NSA MARINATED STRAWBERRY, KG</t>
  </si>
  <si>
    <t>FM0061</t>
  </si>
  <si>
    <t>BUTTER TOFFEE CRUNCH, KG</t>
  </si>
  <si>
    <t>FM0062</t>
  </si>
  <si>
    <t>CARAMELIZED MANGO, KG</t>
  </si>
  <si>
    <t>FM0063</t>
  </si>
  <si>
    <t>CARAMLIZED PEACHES, KG</t>
  </si>
  <si>
    <t>FM0064</t>
  </si>
  <si>
    <t>HALVED PEACHES DRAINED, KG</t>
  </si>
  <si>
    <t>FM0065</t>
  </si>
  <si>
    <t>FRESH MANGO HALVED, KG</t>
  </si>
  <si>
    <t>FM0066</t>
  </si>
  <si>
    <t>WHITE CHOCOLATE, PC</t>
  </si>
  <si>
    <t>FM0067</t>
  </si>
  <si>
    <t>CHOCO LETTERING, KG</t>
  </si>
  <si>
    <t>FM0068</t>
  </si>
  <si>
    <t>INVERTED SUGAR,  KG</t>
  </si>
  <si>
    <t>FM0069</t>
  </si>
  <si>
    <t>MANGO PUREE, KG</t>
  </si>
  <si>
    <t>FM0070</t>
  </si>
  <si>
    <t>MANGO PUREE(COMMY), KG</t>
  </si>
  <si>
    <t>FM0071</t>
  </si>
  <si>
    <t>STRAWBERRY GLAZE, KG</t>
  </si>
  <si>
    <t>FM0072</t>
  </si>
  <si>
    <t>CHOCOLATE SPOON, KG</t>
  </si>
  <si>
    <t>FM0073</t>
  </si>
  <si>
    <t>YELLOW GLAZE, KG</t>
  </si>
  <si>
    <t>FM0074</t>
  </si>
  <si>
    <t>RED GLAZE, KG</t>
  </si>
  <si>
    <t>FM0075</t>
  </si>
  <si>
    <t>GREEN GLAZE, KG</t>
  </si>
  <si>
    <t>FM0076</t>
  </si>
  <si>
    <t>MERINGA DOLCE PASTE, KG</t>
  </si>
  <si>
    <t>FM0077</t>
  </si>
  <si>
    <t>MERINGA DOLCE FILLING, KG</t>
  </si>
  <si>
    <t>FM0078</t>
  </si>
  <si>
    <t>MERINGA DOLCE BOILED ICING, KG</t>
  </si>
  <si>
    <t>FM0079</t>
  </si>
  <si>
    <t>CHOCO SPOON SMALL, PC</t>
  </si>
  <si>
    <t>FM0080</t>
  </si>
  <si>
    <t>CHOCO TWIST NEW, PC</t>
  </si>
  <si>
    <t>FM0081</t>
  </si>
  <si>
    <t>YELLOW FAN ACCESSORY, PC</t>
  </si>
  <si>
    <t>FM0082</t>
  </si>
  <si>
    <t>BUTTERED MANGO, KG</t>
  </si>
  <si>
    <t>FM0083</t>
  </si>
  <si>
    <t>HAPPY BIRTHDAY LABEL, PC</t>
  </si>
  <si>
    <t>FM0084</t>
  </si>
  <si>
    <t>BLANK HAPPY BIRTHDAY LABEL, PC</t>
  </si>
  <si>
    <t>FM0085</t>
  </si>
  <si>
    <t>PIPING CHOCOLATE, KG</t>
  </si>
  <si>
    <t>FM0086</t>
  </si>
  <si>
    <t>BROWN CHOCO LEAVES, PC</t>
  </si>
  <si>
    <t>FM0087</t>
  </si>
  <si>
    <t>TOASTED CHIFFON, KG</t>
  </si>
  <si>
    <t>FM0088</t>
  </si>
  <si>
    <t>MARBLED PLANKS, 77PCS/RE, PC</t>
  </si>
  <si>
    <t>FM0089</t>
  </si>
  <si>
    <t>CASHEW, BAKED, GROUND,KG</t>
  </si>
  <si>
    <t>FM0090</t>
  </si>
  <si>
    <t>MANGO SHAKE PUREE, KG</t>
  </si>
  <si>
    <t>FM0091</t>
  </si>
  <si>
    <t>CHOCOLATE FLOWER, PC</t>
  </si>
  <si>
    <t>FM0092</t>
  </si>
  <si>
    <t>CHOCOLATE BEAR, PC</t>
  </si>
  <si>
    <t>FM0093</t>
  </si>
  <si>
    <t>BIG CHOCOLATE HEART, PC</t>
  </si>
  <si>
    <t>FM0094</t>
  </si>
  <si>
    <t>SMALL CHOCOLATE HEART, PC</t>
  </si>
  <si>
    <t>FM0095</t>
  </si>
  <si>
    <t>BLUEBERRY GELATO,  KG</t>
  </si>
  <si>
    <t>FM0096</t>
  </si>
  <si>
    <t>NEW CHOCOLATE GELATO, KG</t>
  </si>
  <si>
    <t>FM0097</t>
  </si>
  <si>
    <t>NEW ESPRESSO GELATO, KG</t>
  </si>
  <si>
    <t>FM0098</t>
  </si>
  <si>
    <t>NEW FERRERO GELATO, KG</t>
  </si>
  <si>
    <t>FM0099</t>
  </si>
  <si>
    <t>MANGO GELATO, KG</t>
  </si>
  <si>
    <t>FM0100</t>
  </si>
  <si>
    <t>MANGO JUBILLEE GELATO, KG</t>
  </si>
  <si>
    <t>FM0101</t>
  </si>
  <si>
    <t>NEW MINT GELATO, KG</t>
  </si>
  <si>
    <t>FM0102</t>
  </si>
  <si>
    <t>NEW NOCCIOLA GELATO, KG</t>
  </si>
  <si>
    <t>FM0103</t>
  </si>
  <si>
    <t>NEW SANSRIVAL GELATO, KG</t>
  </si>
  <si>
    <t>FM0104</t>
  </si>
  <si>
    <t>NEW STRAWBERRY SHERBET GELATO, KG</t>
  </si>
  <si>
    <t>FM0105</t>
  </si>
  <si>
    <t>VANILLA GELATO, KG</t>
  </si>
  <si>
    <t>FM0106</t>
  </si>
  <si>
    <t>BANANA GELATO, KG</t>
  </si>
  <si>
    <t>FM0108</t>
  </si>
  <si>
    <t>NEW OREO GELATO, KG</t>
  </si>
  <si>
    <t>FM0111</t>
  </si>
  <si>
    <t>NEW CHOCO SANSRIVAL, KG</t>
  </si>
  <si>
    <t>FM0112</t>
  </si>
  <si>
    <t>NEW TOFFEE ALMOND ROCA, KG</t>
  </si>
  <si>
    <t>FM0113</t>
  </si>
  <si>
    <t>MANGO SYMPHONY GELATO, KG</t>
  </si>
  <si>
    <t>FM0115</t>
  </si>
  <si>
    <t>NEW MANGO SORBET, KG</t>
  </si>
  <si>
    <t>FM0116</t>
  </si>
  <si>
    <t>NEW PISTACHIO GELATO, KG</t>
  </si>
  <si>
    <t>FM0117</t>
  </si>
  <si>
    <t>STRAWBERRY BURST GELATO, KG</t>
  </si>
  <si>
    <t>FM0118</t>
  </si>
  <si>
    <t>BLUEBERRY INTENSE, KG</t>
  </si>
  <si>
    <t>FM0119</t>
  </si>
  <si>
    <t>MERINGA DOLCE GELATO, KG</t>
  </si>
  <si>
    <t>FM0126</t>
  </si>
  <si>
    <t>NEW BANANA BLAST INPROCESS, PC</t>
  </si>
  <si>
    <t>FM0127</t>
  </si>
  <si>
    <t>NEW MANGO SANSRIVAL INPROCESS, PC</t>
  </si>
  <si>
    <t>FM0128</t>
  </si>
  <si>
    <t>NEW CHOCO SANSRIVAL INPROCESS, PC</t>
  </si>
  <si>
    <t>FM0130</t>
  </si>
  <si>
    <t>ROUGE IN- PROCESS</t>
  </si>
  <si>
    <t>FM0133</t>
  </si>
  <si>
    <t>MANGO PASSION GELATO CAKE IN- PROCESS, PC</t>
  </si>
  <si>
    <t>FM0134</t>
  </si>
  <si>
    <t>FROZEN BRAZO GELATO CAKE INPROCESS, PC</t>
  </si>
  <si>
    <t>FM0135</t>
  </si>
  <si>
    <t>MARINATED CHICKEN, PC</t>
  </si>
  <si>
    <t>FM0136</t>
  </si>
  <si>
    <t>MARINATED ITALIAN SAUSAGE, PC</t>
  </si>
  <si>
    <t>FM0137</t>
  </si>
  <si>
    <t>RISOTTO STOCK, 50:50 (REFORMULATED) KG</t>
  </si>
  <si>
    <t>FM0138</t>
  </si>
  <si>
    <t>STUFFED CHICKEN FILLING, KG</t>
  </si>
  <si>
    <t>FM0139</t>
  </si>
  <si>
    <t>DEBONED CHICKEN, PC</t>
  </si>
  <si>
    <t>FM0144</t>
  </si>
  <si>
    <t>CARAMEL FLOWER, 1 RECIPE, 18PCS/RE</t>
  </si>
  <si>
    <t>RE</t>
  </si>
  <si>
    <t>FM0145</t>
  </si>
  <si>
    <t>CARAMEL LEAVES, 1 RECIPE, 40PCS/RE</t>
  </si>
  <si>
    <t>FM0146</t>
  </si>
  <si>
    <t>GELATINE SOLUTION, KG</t>
  </si>
  <si>
    <t>FM0147</t>
  </si>
  <si>
    <t>XANTHAN GUM PASTE, KG</t>
  </si>
  <si>
    <t>FM0148</t>
  </si>
  <si>
    <t>BRAZO FILLING, KG</t>
  </si>
  <si>
    <t>FM0149</t>
  </si>
  <si>
    <t>MANGO TANGO FILLING, KG</t>
  </si>
  <si>
    <t>FM0150</t>
  </si>
  <si>
    <t>NEW SANSRIVAL FILLING/ICING, KG</t>
  </si>
  <si>
    <t>FM0151</t>
  </si>
  <si>
    <t>GELATO PUFF ACCESSORIES, PK</t>
  </si>
  <si>
    <t>FM0156</t>
  </si>
  <si>
    <t>GANACHE ICING, KG</t>
  </si>
  <si>
    <t>FM0157</t>
  </si>
  <si>
    <t>PISTACCHIO FILLING, KG</t>
  </si>
  <si>
    <t>FM0158</t>
  </si>
  <si>
    <t>WHITE FROSTING, KG</t>
  </si>
  <si>
    <t>FM0159</t>
  </si>
  <si>
    <t>CHOCOLATE STICKS, KG</t>
  </si>
  <si>
    <t>FM0160</t>
  </si>
  <si>
    <t>CHOCOLATE CURLS, KG</t>
  </si>
  <si>
    <t>FM0161</t>
  </si>
  <si>
    <t>WHITE CHOCOLATE CURLS, KG</t>
  </si>
  <si>
    <t>FM0162</t>
  </si>
  <si>
    <t>EGG YOLK, KG</t>
  </si>
  <si>
    <t>FM0163</t>
  </si>
  <si>
    <t>EGG WHITE, KG (BY-PRO)</t>
  </si>
  <si>
    <t>FM0164</t>
  </si>
  <si>
    <t>EGG, WHOLE, KG</t>
  </si>
  <si>
    <t>FM0165</t>
  </si>
  <si>
    <t>CHOCOLATE SHAVINGS, KG</t>
  </si>
  <si>
    <t>FM0166</t>
  </si>
  <si>
    <t>CHOCOLATE CURVES, KG</t>
  </si>
  <si>
    <t>FM0167</t>
  </si>
  <si>
    <t>HAZELNT FILLING, KG</t>
  </si>
  <si>
    <t>FM0168</t>
  </si>
  <si>
    <t>FRENCH BUTTER CREAM, KG</t>
  </si>
  <si>
    <t>FM0169</t>
  </si>
  <si>
    <t>CARAMEL ICING/FILLING, KG</t>
  </si>
  <si>
    <t>FM0170</t>
  </si>
  <si>
    <t>FM0171</t>
  </si>
  <si>
    <t>FRENCH BUTTER CREAM (FLOWERS), KG</t>
  </si>
  <si>
    <t>FM0172</t>
  </si>
  <si>
    <t>CARAMEL COLOR MIX, KG</t>
  </si>
  <si>
    <t>FM0173</t>
  </si>
  <si>
    <t>FOOD COLOR 1, KG</t>
  </si>
  <si>
    <t>FM0174</t>
  </si>
  <si>
    <t>FOOD COLOR 2, KG</t>
  </si>
  <si>
    <t>FM0175</t>
  </si>
  <si>
    <t>FBC TENTAZIONE, KG</t>
  </si>
  <si>
    <t>FM0176</t>
  </si>
  <si>
    <t>CHOCO ICING, KG</t>
  </si>
  <si>
    <t>FM0177</t>
  </si>
  <si>
    <t>YELLOW CHOCO ACCESSORY, PC</t>
  </si>
  <si>
    <t>FM0178</t>
  </si>
  <si>
    <t>EGG WHITE- MAIN PRODUCT, KG</t>
  </si>
  <si>
    <t>FM0179</t>
  </si>
  <si>
    <t>EGG YOLK- BY PRODUCT, KG</t>
  </si>
  <si>
    <t>FM0180</t>
  </si>
  <si>
    <t>MANGO FELICITY FILLING, KG</t>
  </si>
  <si>
    <t>FM0181</t>
  </si>
  <si>
    <t>CHOCOLATE STRIPES, KG</t>
  </si>
  <si>
    <t>FM0182</t>
  </si>
  <si>
    <t>CHOCOLATE BUTTERFLY, PC</t>
  </si>
  <si>
    <t>FM0183</t>
  </si>
  <si>
    <t>CLEAR GELATIN, KG</t>
  </si>
  <si>
    <t>FM0184</t>
  </si>
  <si>
    <t>BRAZO FROZEN ICING, KG</t>
  </si>
  <si>
    <t>FM0185</t>
  </si>
  <si>
    <t>GREEN LEAVES FBC(CARAMEL 42PCS/BTCH), PC</t>
  </si>
  <si>
    <t>FM0186</t>
  </si>
  <si>
    <t>GREEN LEAVES FBC(TENTA 28PCS/BTCH), PC</t>
  </si>
  <si>
    <t>FM0187</t>
  </si>
  <si>
    <t>WHITE CHIFFON 8DIA, BAKED, PIECES</t>
  </si>
  <si>
    <t>FM0188</t>
  </si>
  <si>
    <t>CHOCO CHIFFON, BAKED, PIECES</t>
  </si>
  <si>
    <t>FM0189</t>
  </si>
  <si>
    <t>CHOCO MOIST CAKE, BAKED, PIECES</t>
  </si>
  <si>
    <t>FM0190</t>
  </si>
  <si>
    <t>BRAZO DE MERCEDES, BAKED, PIECES</t>
  </si>
  <si>
    <t>FM0192</t>
  </si>
  <si>
    <t>MANGO TANGO CRUST, PIECES</t>
  </si>
  <si>
    <t>FM0193</t>
  </si>
  <si>
    <t>SANS RIVAL WAFER RECTANGLE, PC</t>
  </si>
  <si>
    <t>FM0194</t>
  </si>
  <si>
    <t>SANS RIVAL WAFER, ROUND, PIECES</t>
  </si>
  <si>
    <t>FM0195</t>
  </si>
  <si>
    <t>CHOCO MOIST 800G, PC</t>
  </si>
  <si>
    <t>FM0196</t>
  </si>
  <si>
    <t>MERINGUE WAFER, PC</t>
  </si>
  <si>
    <t>FM0197</t>
  </si>
  <si>
    <t>MERINGUE WAFER W/ COATING, PC</t>
  </si>
  <si>
    <t>FM0198</t>
  </si>
  <si>
    <t>NEW CHOCO BASE CAKE, PC</t>
  </si>
  <si>
    <t>FM0199</t>
  </si>
  <si>
    <t>WHITE CHIFFON, 7INCH BAKED, PC</t>
  </si>
  <si>
    <t>FM0200</t>
  </si>
  <si>
    <t>MANGO PIE CRUST, BAKED, PC</t>
  </si>
  <si>
    <t>FM0201</t>
  </si>
  <si>
    <t>WHITE CHIFFON SHEET, BAKED, PC</t>
  </si>
  <si>
    <t>FM0205</t>
  </si>
  <si>
    <t>GELATO WAFER, PC</t>
  </si>
  <si>
    <t>FM0206</t>
  </si>
  <si>
    <t>GRAHAM CRUST MIXTURE, KG</t>
  </si>
  <si>
    <t>FM0207</t>
  </si>
  <si>
    <t>NEW YELLOW STRIPS, PC</t>
  </si>
  <si>
    <t>FM0208</t>
  </si>
  <si>
    <t>NEW BROWN STRIP, PC</t>
  </si>
  <si>
    <t>FM0209</t>
  </si>
  <si>
    <t>NEW RED STRIPS, PC</t>
  </si>
  <si>
    <t>FM0210</t>
  </si>
  <si>
    <t>CHOCO CHIFFON SHEET, PC</t>
  </si>
  <si>
    <t>FM0211</t>
  </si>
  <si>
    <t>SANS RIVAL SHEET, PC</t>
  </si>
  <si>
    <t>FM0212</t>
  </si>
  <si>
    <t>NEW NOCCIOLA WAFER, PC</t>
  </si>
  <si>
    <t>FM0213</t>
  </si>
  <si>
    <t>NEW SANS RIVAL WAFER, PC</t>
  </si>
  <si>
    <t>FM0214</t>
  </si>
  <si>
    <t>BRAZO CRUST, PC</t>
  </si>
  <si>
    <t>FM0215</t>
  </si>
  <si>
    <t>BRAZO MERINGUE SHEET, PC</t>
  </si>
  <si>
    <t>FM0216</t>
  </si>
  <si>
    <t>BRAZO MERINGUE ROUND, PC</t>
  </si>
  <si>
    <t>FM0217</t>
  </si>
  <si>
    <t>WHITE CHIFFON, SQUARE, PC</t>
  </si>
  <si>
    <t>FM0218</t>
  </si>
  <si>
    <t>PURE YELLOW STRIP, PC</t>
  </si>
  <si>
    <t>FM0219</t>
  </si>
  <si>
    <t>YELLOW AND BROWN STRIP, PC</t>
  </si>
  <si>
    <t>FM0222</t>
  </si>
  <si>
    <t>PISTACHIOCHOCOLATO IN- PROCESS, PC</t>
  </si>
  <si>
    <t>FM0224</t>
  </si>
  <si>
    <t>POTATO, BOILED, MASHED, KG</t>
  </si>
  <si>
    <t>FM0225</t>
  </si>
  <si>
    <t>BECHAMEL SAUCE, 1.5 KG /PACK</t>
  </si>
  <si>
    <t>FM0226</t>
  </si>
  <si>
    <t>BECHAMEL SAUCE, 250G/PK--KIOSK</t>
  </si>
  <si>
    <t>FM0227</t>
  </si>
  <si>
    <t>CHICKEN STOCKS, 1.5 KG / PACK</t>
  </si>
  <si>
    <t>FM0228</t>
  </si>
  <si>
    <t>CHICKEN STOCKS, 500G / PACK</t>
  </si>
  <si>
    <t>FM0229</t>
  </si>
  <si>
    <t>MONTANARA SAUCE, 1.5 KG / PACK</t>
  </si>
  <si>
    <t>FM0230</t>
  </si>
  <si>
    <t>MONTANARA SAUCE, 360GRAMS/PK, PK</t>
  </si>
  <si>
    <t>FM0231</t>
  </si>
  <si>
    <t>CHEESE SAUCE, 500 G / PACK</t>
  </si>
  <si>
    <t>FM0232</t>
  </si>
  <si>
    <t>CHEESE SAUCE, 250G/PK-- SHORT TERM</t>
  </si>
  <si>
    <t>FM0233</t>
  </si>
  <si>
    <t>POMODORO SAUCE, 1.5 KG / PACK</t>
  </si>
  <si>
    <t>FM0234</t>
  </si>
  <si>
    <t>POMODORO SAUCE, 250G / PK - KIOSK</t>
  </si>
  <si>
    <t>FM0235</t>
  </si>
  <si>
    <t>VONGOLE SAUCE 1.5 KG / PACK</t>
  </si>
  <si>
    <t>FM0236</t>
  </si>
  <si>
    <t>VONGOLE SAUCE-PRAWNS, 16PC / PACK (460G)</t>
  </si>
  <si>
    <t>FM0237</t>
  </si>
  <si>
    <t>SMOKED SALMON, 360 G / PACK</t>
  </si>
  <si>
    <t>FM0238</t>
  </si>
  <si>
    <t>SMOKED SALMON, 80G/PK, PK</t>
  </si>
  <si>
    <t>FM0239</t>
  </si>
  <si>
    <t>CANNELLONI FILLING, 1.080 KG / PACK</t>
  </si>
  <si>
    <t>FM0240</t>
  </si>
  <si>
    <t>BAKED CANNELLONI, 8 SERV / TRAY</t>
  </si>
  <si>
    <t>FM0241</t>
  </si>
  <si>
    <t>PUTTANESCA PASTE, 200G / PACK</t>
  </si>
  <si>
    <t>FM0242</t>
  </si>
  <si>
    <t>BOILED CLAMS, 600-620G / PACK</t>
  </si>
  <si>
    <t>FM0243</t>
  </si>
  <si>
    <t>CLAM JUICE/ STOCK 1.5 KG / PACK</t>
  </si>
  <si>
    <t>FM0244</t>
  </si>
  <si>
    <t>FRESH SHRIMPS, 500G / PACK</t>
  </si>
  <si>
    <t>FM0245</t>
  </si>
  <si>
    <t>FRESH PASTA, LINGUINI YELLOW, 150G / PACK</t>
  </si>
  <si>
    <t>FM0246</t>
  </si>
  <si>
    <t>FRESH PASTA, FUSSILI, 150G / PACK</t>
  </si>
  <si>
    <t>FM0247</t>
  </si>
  <si>
    <t>OLIVES, BLACK, WHOLE, 180G / PACK</t>
  </si>
  <si>
    <t>FM0248</t>
  </si>
  <si>
    <t>BOILED MUSSELS, 345 - 360G / PACK</t>
  </si>
  <si>
    <t>FM0249</t>
  </si>
  <si>
    <t>FRESH LINGUINI, GREEN, 150G / PACK</t>
  </si>
  <si>
    <t>FM0250</t>
  </si>
  <si>
    <t>LEMON, FRESH 1KG / PACK</t>
  </si>
  <si>
    <t>FM0251</t>
  </si>
  <si>
    <t>STEWED TOMATOES 540G/PK</t>
  </si>
  <si>
    <t>FM0252</t>
  </si>
  <si>
    <t>CHILLI OIL, 222G/PK</t>
  </si>
  <si>
    <t>FM0253</t>
  </si>
  <si>
    <t>FRESH SALMON, 50G/PK</t>
  </si>
  <si>
    <t>FM0254</t>
  </si>
  <si>
    <t>SHITAKE MUSHROOM, 24G/PK</t>
  </si>
  <si>
    <t>FM0255</t>
  </si>
  <si>
    <t>RAGU, 1.5KG/PK</t>
  </si>
  <si>
    <t>FM0256</t>
  </si>
  <si>
    <t>RAGU SAUCE, 810G/PK</t>
  </si>
  <si>
    <t>FM0257</t>
  </si>
  <si>
    <t>SPINACH RAVIOLI, 48PCS/PK</t>
  </si>
  <si>
    <t>FM0258</t>
  </si>
  <si>
    <t>NEW BECHAMEL SAUCE, 1.5KG/PK</t>
  </si>
  <si>
    <t>FM0259</t>
  </si>
  <si>
    <t>NEW PESTO SAUCE, 320G/PK</t>
  </si>
  <si>
    <t>FM0260</t>
  </si>
  <si>
    <t>NEW PESTO SAUCE, 250G/PK</t>
  </si>
  <si>
    <t>FM0261</t>
  </si>
  <si>
    <t>NEW LASAGNA, 1 TRAY</t>
  </si>
  <si>
    <t>FM0262</t>
  </si>
  <si>
    <t>NEW LASAGNA(CARAMIA), TRAY</t>
  </si>
  <si>
    <t>FM0263</t>
  </si>
  <si>
    <t>MORTADELLA TORTELLINI, 48PCS/PACK, PK</t>
  </si>
  <si>
    <t>FM0264</t>
  </si>
  <si>
    <t>ROASTED CAPSICUM BELL PEPPERS, 200G/PK, PK</t>
  </si>
  <si>
    <t>FM0265</t>
  </si>
  <si>
    <t>PIZZA SAUCE,1.379KG / PACK</t>
  </si>
  <si>
    <t>FM0266</t>
  </si>
  <si>
    <t>PIZZA DOUGH, 10PCS / PACK</t>
  </si>
  <si>
    <t>FM0267</t>
  </si>
  <si>
    <t>MUSSELS, BOILED, 240G / PACK</t>
  </si>
  <si>
    <t>FM0268</t>
  </si>
  <si>
    <t>SQUID, BOILED, 100G / PACK</t>
  </si>
  <si>
    <t>FM0269</t>
  </si>
  <si>
    <t>SHRIMPS, BOILED, CUT 180G / PACK</t>
  </si>
  <si>
    <t>FM0270</t>
  </si>
  <si>
    <t>GRATED GRANA PADANO, 500G / PACK</t>
  </si>
  <si>
    <t>FM0271</t>
  </si>
  <si>
    <t>GRATED GRANA PADANO, 100G / PACK</t>
  </si>
  <si>
    <t>FM0272</t>
  </si>
  <si>
    <t>GRATED MOZZARELLA CHEESE, 100G / PACK</t>
  </si>
  <si>
    <t>FM0273</t>
  </si>
  <si>
    <t>GRATED MOZZARELLA, 80G/PK</t>
  </si>
  <si>
    <t>FM0274</t>
  </si>
  <si>
    <t>GRATED MOZARELLA, 500G / PACK</t>
  </si>
  <si>
    <t>FM0275</t>
  </si>
  <si>
    <t>COOKED HAM, 325G / PACK</t>
  </si>
  <si>
    <t>FM0276</t>
  </si>
  <si>
    <t>BLACK OLIVES,SLICE, 180G / PACK</t>
  </si>
  <si>
    <t>FM0277</t>
  </si>
  <si>
    <t>BLACK OLIVES, 60G / PACK</t>
  </si>
  <si>
    <t>FM0278</t>
  </si>
  <si>
    <t>FRESH GARLIC, 500G / PACK</t>
  </si>
  <si>
    <t>FM0279</t>
  </si>
  <si>
    <t>FRESH GARLIC CHOPPED, 100G/PK</t>
  </si>
  <si>
    <t>FM0280</t>
  </si>
  <si>
    <t>ONION, FRESH 300G / PACK</t>
  </si>
  <si>
    <t>FM0281</t>
  </si>
  <si>
    <t>PEPPERONI SLICE, 180G / PACK</t>
  </si>
  <si>
    <t>FM0282</t>
  </si>
  <si>
    <t>ZUCCHINI, 500G / PACK</t>
  </si>
  <si>
    <t>FM0283</t>
  </si>
  <si>
    <t>GREEN -RED BELL PEPPER, 500G / PACK</t>
  </si>
  <si>
    <t>FM0284</t>
  </si>
  <si>
    <t>TOMATO, FRESH, 635G / PACK</t>
  </si>
  <si>
    <t>FM0285</t>
  </si>
  <si>
    <t>PROSCUITTO, SLICE, 325G / PACK</t>
  </si>
  <si>
    <t>FM0286</t>
  </si>
  <si>
    <t>BASIL LEAVES, 100G / PACK</t>
  </si>
  <si>
    <t>FM0287</t>
  </si>
  <si>
    <t>BASIL LEAVES, 20G / PACK - KIOSK</t>
  </si>
  <si>
    <t>FM0288</t>
  </si>
  <si>
    <t>PARSLEY LEAVES, TRIMMED, 100G / PACK</t>
  </si>
  <si>
    <t>FM0289</t>
  </si>
  <si>
    <t>PARSLEY LEAVES, 10G / PACK - KIOSK</t>
  </si>
  <si>
    <t>FM0290</t>
  </si>
  <si>
    <t>OIL MARINADE 80G / PACK</t>
  </si>
  <si>
    <t>FM0291</t>
  </si>
  <si>
    <t>CREAM CHEESE, 360G / PACK</t>
  </si>
  <si>
    <t>FM0292</t>
  </si>
  <si>
    <t>ARTICHOKES, 240G / PACK</t>
  </si>
  <si>
    <t>FM0293</t>
  </si>
  <si>
    <t>ARTICHOKES, 40G / PACK</t>
  </si>
  <si>
    <t>FM0294</t>
  </si>
  <si>
    <t>MIXED VEGETABLES, 80G / PACK</t>
  </si>
  <si>
    <t>FM0295</t>
  </si>
  <si>
    <t>CAPERS, 120G / PACK</t>
  </si>
  <si>
    <t>FM0296</t>
  </si>
  <si>
    <t>PROVOLONE CHEESE, 90G/PK</t>
  </si>
  <si>
    <t>FM0297</t>
  </si>
  <si>
    <t>PROVOLONE CHEESE, 18G/PK, PK</t>
  </si>
  <si>
    <t>FM0298</t>
  </si>
  <si>
    <t>BUTTER SALTED 1KG / PACK</t>
  </si>
  <si>
    <t>FM0299</t>
  </si>
  <si>
    <t>BUTTER SALTED 100G / PACK</t>
  </si>
  <si>
    <t>FM0300</t>
  </si>
  <si>
    <t>BLUE CHEESE, 100G / PACK</t>
  </si>
  <si>
    <t>FM0301</t>
  </si>
  <si>
    <t>ONIONS, RED, 500G/PK</t>
  </si>
  <si>
    <t>FM0302</t>
  </si>
  <si>
    <t>PORCINI, 30G/PK</t>
  </si>
  <si>
    <t>FM0303</t>
  </si>
  <si>
    <t>FRESH SPINACH, 255G/PK</t>
  </si>
  <si>
    <t>FM0304</t>
  </si>
  <si>
    <t>FRESH SPINACH, 100G/PK, PK</t>
  </si>
  <si>
    <t>FM0305</t>
  </si>
  <si>
    <t>SPANISH CHORIZO 105G/PK</t>
  </si>
  <si>
    <t>FM0306</t>
  </si>
  <si>
    <t>FRESH GARLIC WHOLE, 250G/PK</t>
  </si>
  <si>
    <t>FM0307</t>
  </si>
  <si>
    <t>MUSHROOM CREAM,320G/PACK, PK</t>
  </si>
  <si>
    <t>FM0308</t>
  </si>
  <si>
    <t>MUSHROOM CREAM,180G/PACK, PK</t>
  </si>
  <si>
    <t>FM0309</t>
  </si>
  <si>
    <t>WALNUT PASTE, 400G/PACK</t>
  </si>
  <si>
    <t>FM0310</t>
  </si>
  <si>
    <t>ARTICHOKE CREAM,320G/PACK</t>
  </si>
  <si>
    <t>FM0311</t>
  </si>
  <si>
    <t>ARTICHOKE CREAM,180G/PACK</t>
  </si>
  <si>
    <t>FM0312</t>
  </si>
  <si>
    <t>BELL PEPPER MIX(PIZZA), 160G/PACK</t>
  </si>
  <si>
    <t>FM0313</t>
  </si>
  <si>
    <t>SPINACH CREAM, 320G/PACK, PK</t>
  </si>
  <si>
    <t>FM0314</t>
  </si>
  <si>
    <t>SPINACH CREAM, 100G/PACK, PK</t>
  </si>
  <si>
    <t>FM0315</t>
  </si>
  <si>
    <t>BROCOLLI 135G/PK, PK</t>
  </si>
  <si>
    <t>FM0316</t>
  </si>
  <si>
    <t>EGGPLANT, ACTUAL WT/ PACK, PK</t>
  </si>
  <si>
    <t>FM0317</t>
  </si>
  <si>
    <t>ZUCCHINI, ACTUAL WT/PACK, PK</t>
  </si>
  <si>
    <t>FM0318</t>
  </si>
  <si>
    <t>HERB, FRESH ROSEMARY, 15G/PK, PK</t>
  </si>
  <si>
    <t>FM0319</t>
  </si>
  <si>
    <t>CHILI LABUYO, 15G/PK, PK</t>
  </si>
  <si>
    <t>FM0320</t>
  </si>
  <si>
    <t>PORTOBELLO MUSHROOM, 250G/PK</t>
  </si>
  <si>
    <t>FM0321</t>
  </si>
  <si>
    <t>ANCHOR PARMESAN CHEESE, 500GM/PK</t>
  </si>
  <si>
    <t>FM0322</t>
  </si>
  <si>
    <t>NEW CHOCOLATE, 4.5KG/TRAY</t>
  </si>
  <si>
    <t>FM0323</t>
  </si>
  <si>
    <t>NEW ESPRESSO, 2.5KG/TRAY</t>
  </si>
  <si>
    <t>FM0324</t>
  </si>
  <si>
    <t>NEW FERRERO, 2.5KG/TRAY</t>
  </si>
  <si>
    <t>FM0326</t>
  </si>
  <si>
    <t>NEW MINT, 2.5KG/TRAY</t>
  </si>
  <si>
    <t>FM0328</t>
  </si>
  <si>
    <t>NEW SANSRIVAL, 4.5KG/TRAY</t>
  </si>
  <si>
    <t>FM0331</t>
  </si>
  <si>
    <t>NEW OREO, 2. 5KG/TRAY</t>
  </si>
  <si>
    <t>FM0334</t>
  </si>
  <si>
    <t>NEW CHOCO SANSRIVAL, 4.5KG/TRAY</t>
  </si>
  <si>
    <t>FM0335</t>
  </si>
  <si>
    <t>NEW TOFFEE ALMOND ROCA, 2.5KG/TRAY</t>
  </si>
  <si>
    <t>FM0337</t>
  </si>
  <si>
    <t>NEW PISTACHIO, 4.5KG/TRAY</t>
  </si>
  <si>
    <t>FM0343</t>
  </si>
  <si>
    <t>BLUEBERRY GELATO TUB, 1 LITER</t>
  </si>
  <si>
    <t>FM0344</t>
  </si>
  <si>
    <t>MANGO GELATO TUB, 1 LITER</t>
  </si>
  <si>
    <t>FM0345</t>
  </si>
  <si>
    <t>VANILLA GELATO TUB, 1 LITER</t>
  </si>
  <si>
    <t>FM0346</t>
  </si>
  <si>
    <t>NEW DURIAN, TUB</t>
  </si>
  <si>
    <t>FM0347</t>
  </si>
  <si>
    <t>NEW BANANA BLAST GELATO CAKE, PC</t>
  </si>
  <si>
    <t>FM0348</t>
  </si>
  <si>
    <t>NEW CHOCO SANSRIVAL GELATO CAKE, PC</t>
  </si>
  <si>
    <t>FM0349</t>
  </si>
  <si>
    <t>NEW MANGO SANSRIVAL GELATO CAKE, PC</t>
  </si>
  <si>
    <t>FM0351</t>
  </si>
  <si>
    <t>ROUGE GELATO CAKE, PC</t>
  </si>
  <si>
    <t>FM0354</t>
  </si>
  <si>
    <t>MANGO PASSION GELATO CAKE, PC</t>
  </si>
  <si>
    <t>FM0355</t>
  </si>
  <si>
    <t>FROZEN BRAZO GELATO CAKE, PC</t>
  </si>
  <si>
    <t>FM0356</t>
  </si>
  <si>
    <t>CHOCOLATE ACESSORIES, 40PCS / BOX</t>
  </si>
  <si>
    <t>FM0357</t>
  </si>
  <si>
    <t>COCOA POWDER, 250G / PACK</t>
  </si>
  <si>
    <t>FM0358</t>
  </si>
  <si>
    <t>REFINED SUGAR, 250G / PACK</t>
  </si>
  <si>
    <t>FM0359</t>
  </si>
  <si>
    <t>CHOCO TWIST (25PCS)/CHOCO MARBLE (40PCS),BX</t>
  </si>
  <si>
    <t>FM0360</t>
  </si>
  <si>
    <t>HAZELNUT, 250G / PACK</t>
  </si>
  <si>
    <t>FM0361</t>
  </si>
  <si>
    <t>PISTACCHIO NUT, 250G / PACK</t>
  </si>
  <si>
    <t>FM0362</t>
  </si>
  <si>
    <t>SAVIORDI TRIMMINGS, 125G / PACK</t>
  </si>
  <si>
    <t>FM0363</t>
  </si>
  <si>
    <t>GRAHAM POWDER, 50G / PACK</t>
  </si>
  <si>
    <t>FM0364</t>
  </si>
  <si>
    <t>ALMOND SLICED, 150G / PACK</t>
  </si>
  <si>
    <t>FM0365</t>
  </si>
  <si>
    <t>STRAWBERRY FROZEN, 150G / PACK</t>
  </si>
  <si>
    <t>FM0366</t>
  </si>
  <si>
    <t>REPACKED FRESH MANGO, 315G/PK</t>
  </si>
  <si>
    <t>FM0367</t>
  </si>
  <si>
    <t>WHITE CHOCOLATE ACCESSORY, 1PC</t>
  </si>
  <si>
    <t>FM0368</t>
  </si>
  <si>
    <t>MANGO PUREE, 500G/PK</t>
  </si>
  <si>
    <t>FM0369</t>
  </si>
  <si>
    <t>YELLOW GLAZE, 200G/PK</t>
  </si>
  <si>
    <t>FM0370</t>
  </si>
  <si>
    <t>RED GLAZE, 200G/PK</t>
  </si>
  <si>
    <t>FM0371</t>
  </si>
  <si>
    <t>GREEN GLAZE, 200G/PK</t>
  </si>
  <si>
    <t>FM0372</t>
  </si>
  <si>
    <t>GANACHE, 200G/PK</t>
  </si>
  <si>
    <t>FM0373</t>
  </si>
  <si>
    <t>VALENTINE'S DAY GREETINGS, 1 SET</t>
  </si>
  <si>
    <t>FM0374</t>
  </si>
  <si>
    <t>HAPPY BIRTHDAY LABEL, 24PCS/BOX</t>
  </si>
  <si>
    <t>FM0375</t>
  </si>
  <si>
    <t>PIPING CHOCOLATE, 200G/PK</t>
  </si>
  <si>
    <t>FM0376</t>
  </si>
  <si>
    <t>BLANK HAPPY BIRTHDAY LABEL, 24PCS/BX</t>
  </si>
  <si>
    <t>FM0377</t>
  </si>
  <si>
    <t>HAPPY MOTHER'S DAY LABEL, 24PCS/BX, BX</t>
  </si>
  <si>
    <t>FM0378</t>
  </si>
  <si>
    <t>NEW GELATO ACCESSORIES PACK, 1 PACK</t>
  </si>
  <si>
    <t>FM0379</t>
  </si>
  <si>
    <t>GRAHAM CRUST, 1PC/PK, PACK</t>
  </si>
  <si>
    <t>FM0380</t>
  </si>
  <si>
    <t>SANSRIVAL WAFER(ROUND) FOR STORE, 1PC/PK, PK</t>
  </si>
  <si>
    <t>FM0381</t>
  </si>
  <si>
    <t>COCOA POWDER, RICOA, 100G/PK, PACK</t>
  </si>
  <si>
    <t>FM0382</t>
  </si>
  <si>
    <t>TOASTED CHIFFON FOR STORE, 135G/PK, PK</t>
  </si>
  <si>
    <t>FM0383</t>
  </si>
  <si>
    <t>GROUND CASHEW,395G/PACK, PK</t>
  </si>
  <si>
    <t>FM0384</t>
  </si>
  <si>
    <t>SANSRIVAL ICING, 500G/PACK, PK</t>
  </si>
  <si>
    <t>FM0385</t>
  </si>
  <si>
    <t>SANSRIVAL CRUST(RECTANGLE), 5PCS/PACK, PK</t>
  </si>
  <si>
    <t>FM0387</t>
  </si>
  <si>
    <t>GELATO ACCESSORIES(BISCOTTO), PK</t>
  </si>
  <si>
    <t>FM0388</t>
  </si>
  <si>
    <t>GELATO ACCESSORIES(AMARETTO), PK</t>
  </si>
  <si>
    <t>FM0389</t>
  </si>
  <si>
    <t>MANGO PIE CRUST, 1PC/PK, PK</t>
  </si>
  <si>
    <t>FM0390</t>
  </si>
  <si>
    <t>BLUEBERRY FROZEN, 120GM/PK, PK</t>
  </si>
  <si>
    <t>FM0391</t>
  </si>
  <si>
    <t>NEW SUMMER GELATO ACCESSORIES, PK</t>
  </si>
  <si>
    <t>FM0392</t>
  </si>
  <si>
    <t>MANGO PASTE, 675G/PK</t>
  </si>
  <si>
    <t>FM0393</t>
  </si>
  <si>
    <t>BLUEBERRY PASTE, 695G/PK</t>
  </si>
  <si>
    <t>FM0394</t>
  </si>
  <si>
    <t>STRAWBERRY PASTE, 675G/PK</t>
  </si>
  <si>
    <t>FM0395</t>
  </si>
  <si>
    <t>INVERTED SUGAR, 1KG/PK, PK</t>
  </si>
  <si>
    <t>FM0396</t>
  </si>
  <si>
    <t>NSA STRAYBERRY PASTE 338G/PK, PK</t>
  </si>
  <si>
    <t>FM0397</t>
  </si>
  <si>
    <t>BANANA PASTE, 180GRAMS/PK, PK</t>
  </si>
  <si>
    <t>FM0398</t>
  </si>
  <si>
    <t>BLUEBERRY PASTE, 120GM/PK, PK</t>
  </si>
  <si>
    <t>FM0399</t>
  </si>
  <si>
    <t>BELCOLADE DARK NSA, 500G/PK</t>
  </si>
  <si>
    <t>FM0400</t>
  </si>
  <si>
    <t>BELCOLADE NOIR DARK, 500G/PK</t>
  </si>
  <si>
    <t>FM0401</t>
  </si>
  <si>
    <t>DARK SWEET CHOCOLATE, 500G/PK</t>
  </si>
  <si>
    <t>FM0402</t>
  </si>
  <si>
    <t>BUTTER TOFFEE CRUNCH, 500G/PK</t>
  </si>
  <si>
    <t>FM0403</t>
  </si>
  <si>
    <t>GRAHAM CRUST, 500G/PK</t>
  </si>
  <si>
    <t>FM0404</t>
  </si>
  <si>
    <t>MEATBALLS WITH SAUCE 735G/PK</t>
  </si>
  <si>
    <t>FM0405</t>
  </si>
  <si>
    <t>DRIED BASIL, 12GMS/PK, PK</t>
  </si>
  <si>
    <t>FM0406</t>
  </si>
  <si>
    <t>DRIED THYME, 12GMS/PK, PK</t>
  </si>
  <si>
    <t>FM0407</t>
  </si>
  <si>
    <t>BREADED MOZARELLA STICKS,  6PCS / PACK</t>
  </si>
  <si>
    <t>FM0408</t>
  </si>
  <si>
    <t>NEW CAESAR DRESSING, 450G / PACK</t>
  </si>
  <si>
    <t>FM0409</t>
  </si>
  <si>
    <t>CAESAR DRESSING, 160G / PACK</t>
  </si>
  <si>
    <t>FM0410</t>
  </si>
  <si>
    <t>BALSAMIC DRESSING, 180G / PACK</t>
  </si>
  <si>
    <t>FM0411</t>
  </si>
  <si>
    <t>CROUTONS, 50G / PACK</t>
  </si>
  <si>
    <t>FM0412</t>
  </si>
  <si>
    <t>MARINATED CHICKEN, 9SV / TRAY</t>
  </si>
  <si>
    <t>FM0413</t>
  </si>
  <si>
    <t>PAR- BAKED MARINATED CHICKEN, PCS</t>
  </si>
  <si>
    <t>FM0414</t>
  </si>
  <si>
    <t>MARINATED ITALIAN SAUSAGE, 30PCS / TRAY</t>
  </si>
  <si>
    <t>FM0415</t>
  </si>
  <si>
    <t>PAR- BAKED ITALIAN SAUSAGE,10PCS / PACK</t>
  </si>
  <si>
    <t>FM0416</t>
  </si>
  <si>
    <t>MINESTRONE SOUP, 1.5KG / PACK</t>
  </si>
  <si>
    <t>FM0417</t>
  </si>
  <si>
    <t>MINESTRONE VEGS, 660G / PACK</t>
  </si>
  <si>
    <t>FM0418</t>
  </si>
  <si>
    <t>FRESH POTATOES, 500G / PACK</t>
  </si>
  <si>
    <t>FM0419</t>
  </si>
  <si>
    <t>FRESH CARROTS, 500G / PACK</t>
  </si>
  <si>
    <t>FM0420</t>
  </si>
  <si>
    <t>FRESH BAGUIO BEANS, 500G / PACK</t>
  </si>
  <si>
    <t>FM0421</t>
  </si>
  <si>
    <t>RISOTTO STOCK (REFORMULATED), 1.480 KG X PACK</t>
  </si>
  <si>
    <t>FM0422</t>
  </si>
  <si>
    <t>SQUASH SOUP, 280G / PACK</t>
  </si>
  <si>
    <t>FM0423</t>
  </si>
  <si>
    <t>SQUASH SOUP, 140G/PK</t>
  </si>
  <si>
    <t>FM0424</t>
  </si>
  <si>
    <t>BACON BITS, 50G / PACK</t>
  </si>
  <si>
    <t>FM0425</t>
  </si>
  <si>
    <t>PORK STEAK, 135G / PACK</t>
  </si>
  <si>
    <t>FM0426</t>
  </si>
  <si>
    <t>SPICED VINEGAR, PACK, 400G / PACK</t>
  </si>
  <si>
    <t>FM0427</t>
  </si>
  <si>
    <t>MUSHROOM SOUP, 280G / PACK</t>
  </si>
  <si>
    <t>FM0428</t>
  </si>
  <si>
    <t>MANGO SAUCE, 240G/PK</t>
  </si>
  <si>
    <t>FM0429</t>
  </si>
  <si>
    <t>HONEY VINAIGRETTE, 180G/PK</t>
  </si>
  <si>
    <t>FM0430</t>
  </si>
  <si>
    <t>RICOTTA MIXTURE, 3PCS/PK</t>
  </si>
  <si>
    <t>FM0431</t>
  </si>
  <si>
    <t>ARANCINI, 9PCS/PK</t>
  </si>
  <si>
    <t>FM0432</t>
  </si>
  <si>
    <t>TOMATO OIL, 100G/PK</t>
  </si>
  <si>
    <t>FM0433</t>
  </si>
  <si>
    <t>ASPARAGUS SAUCE,90G/PK</t>
  </si>
  <si>
    <t>FM0434</t>
  </si>
  <si>
    <t>CHICKEN ASPARAGUS, 3PCS/PK</t>
  </si>
  <si>
    <t>FM0435</t>
  </si>
  <si>
    <t>STUFFED CHICKEN, 1PC/PK</t>
  </si>
  <si>
    <t>FM0436</t>
  </si>
  <si>
    <t>RISOTTO, 1.1KG/PK</t>
  </si>
  <si>
    <t>FM0437</t>
  </si>
  <si>
    <t>PORK BELLY SLICES, 4PCS/PK</t>
  </si>
  <si>
    <t>FM0438</t>
  </si>
  <si>
    <t>RISO AL SALTO RICE, 1 PC/PK</t>
  </si>
  <si>
    <t>FM0439</t>
  </si>
  <si>
    <t>SEAFOOD CHOWDER,</t>
  </si>
  <si>
    <t>FM0440</t>
  </si>
  <si>
    <t>BREADED SOLE FISH, 4PCS/PK</t>
  </si>
  <si>
    <t>FM0441</t>
  </si>
  <si>
    <t>ZUPPA DI CAROTE, 220GRAMS/PACK</t>
  </si>
  <si>
    <t>FM0442</t>
  </si>
  <si>
    <t>ZUPPA DI CAROTE, 150GRAMS/PACK</t>
  </si>
  <si>
    <t>FM0443</t>
  </si>
  <si>
    <t>LEMON DRESSING, 140G/PK</t>
  </si>
  <si>
    <t>FM0444</t>
  </si>
  <si>
    <t>ONION, SPRING, 20G/PK</t>
  </si>
  <si>
    <t>FM0445</t>
  </si>
  <si>
    <t>SPINACH ARTICHOKE DIP, 300G/PK, PK</t>
  </si>
  <si>
    <t>FM0446</t>
  </si>
  <si>
    <t>NEW PORK SUGO, 130G/PK, PK</t>
  </si>
  <si>
    <t>FM0447</t>
  </si>
  <si>
    <t>ALMOND CRUSTED SOLE, 8PCS/PK, PK</t>
  </si>
  <si>
    <t>FM0448</t>
  </si>
  <si>
    <t>TOASTED CIABATTA, 8SLICES/PK, PK</t>
  </si>
  <si>
    <t>FM0449</t>
  </si>
  <si>
    <t>BREADED CHICKEN FILLET, 4PCS/TRAY, PC</t>
  </si>
  <si>
    <t>FM0450</t>
  </si>
  <si>
    <t>SESAME DRESSING, 210GRAMS/PK, PK</t>
  </si>
  <si>
    <t>FM0451</t>
  </si>
  <si>
    <t>ROLLED PORK, 4SV/PK, PK</t>
  </si>
  <si>
    <t>FM0452</t>
  </si>
  <si>
    <t>CANDIED WALNUTS, 80GRAMS/PK, PK</t>
  </si>
  <si>
    <t>FM0453</t>
  </si>
  <si>
    <t>RED WINE VINAIGRETTE, 180GRAMS/PK, PK</t>
  </si>
  <si>
    <t>FM0454</t>
  </si>
  <si>
    <t>SESAME SEED, 30GRAMS/PK, PK</t>
  </si>
  <si>
    <t>FM0455</t>
  </si>
  <si>
    <t>FRESH PEAR, 500G/PK</t>
  </si>
  <si>
    <t>FM0456</t>
  </si>
  <si>
    <t>WALNUT, 120G/PK</t>
  </si>
  <si>
    <t>FM0457</t>
  </si>
  <si>
    <t>ARUGULA, 100G/PK</t>
  </si>
  <si>
    <t>FM0458</t>
  </si>
  <si>
    <t>FRESH GRAPES, 120GRAMS/PK, PK</t>
  </si>
  <si>
    <t>FM0462</t>
  </si>
  <si>
    <t>PISTACCHOCOLATO, WHOLE</t>
  </si>
  <si>
    <t>FM0463</t>
  </si>
  <si>
    <t>NEW SANS RIVAL ROUND, WHOLE</t>
  </si>
  <si>
    <t>FM0464</t>
  </si>
  <si>
    <t>SANS RIVAL RECTANGULAR, WHOLE</t>
  </si>
  <si>
    <t>FM0465</t>
  </si>
  <si>
    <t>SANSRIVAL CAKE, PC--FOR CSR</t>
  </si>
  <si>
    <t>FM0467</t>
  </si>
  <si>
    <t>CARAMEL CAKE, PC</t>
  </si>
  <si>
    <t>FM0472</t>
  </si>
  <si>
    <t>HOT CHOCO, 1 PACK</t>
  </si>
  <si>
    <t>FM0473</t>
  </si>
  <si>
    <t>MANGO SHAKE PUREE, 500G/PK, PK</t>
  </si>
  <si>
    <t>FM0474</t>
  </si>
  <si>
    <t>SLICED SMOKED FOREST HAM, 600G/PK, 10SRVG</t>
  </si>
  <si>
    <t>FM0475</t>
  </si>
  <si>
    <t>ARROZ ALA CUBANA, 180G/PK</t>
  </si>
  <si>
    <t>FM0476</t>
  </si>
  <si>
    <t>WHIPPED BUTTER(PANCAKE), 10PC/PK, PK</t>
  </si>
  <si>
    <t>FM0477</t>
  </si>
  <si>
    <t>ADOBO FLAKES, 400GM/PK, PK</t>
  </si>
  <si>
    <t>FM0478</t>
  </si>
  <si>
    <t>CUCUMBER SALAD, 230GM/PK, PK</t>
  </si>
  <si>
    <t>FM0479</t>
  </si>
  <si>
    <t>HOTCAKE PREMIX F0021, .4987/PK, PK</t>
  </si>
  <si>
    <t>FM0480</t>
  </si>
  <si>
    <t>CONFECTIONER'S SUGAR, 50GM/PK, PK</t>
  </si>
  <si>
    <t>FM0481</t>
  </si>
  <si>
    <t>CINNAMON POWDER, 20GM/PK, PK</t>
  </si>
  <si>
    <t>FM0482</t>
  </si>
  <si>
    <t>BLUEBERRY VARIEGATO, KG</t>
  </si>
  <si>
    <t>FM0483</t>
  </si>
  <si>
    <t>TOFFEE ACCESSORY, KG</t>
  </si>
  <si>
    <t>FM0484</t>
  </si>
  <si>
    <t>BAILEYS GELATO, KG</t>
  </si>
  <si>
    <t>FM0485</t>
  </si>
  <si>
    <t>BLUEBERRY CHEESECAKE GELATO, KG</t>
  </si>
  <si>
    <t>FM0486</t>
  </si>
  <si>
    <t>SALTED CARAMEL GELATO, KG</t>
  </si>
  <si>
    <t>FM0487</t>
  </si>
  <si>
    <t>CARAMEL SAUCE, KG</t>
  </si>
  <si>
    <t>FM0488</t>
  </si>
  <si>
    <t>CARAMEL SAUCE(LAYERING), KG</t>
  </si>
  <si>
    <t>FM0489</t>
  </si>
  <si>
    <t>NEW CARAMEL FILLING W/ SAUCE, KG</t>
  </si>
  <si>
    <t>FM0490</t>
  </si>
  <si>
    <t>BAILEYS GELATO, 2.5KG/TRAY</t>
  </si>
  <si>
    <t>FM0491</t>
  </si>
  <si>
    <t>BLUEBERRY CHEESECAKE GELATO, 2.5KG/TRAY</t>
  </si>
  <si>
    <t>FM0492</t>
  </si>
  <si>
    <t>SALTED CARAMEL GELATO, 2.5KG/TRAY</t>
  </si>
  <si>
    <t>FM0493</t>
  </si>
  <si>
    <t>BAILEYS, 40GMS/PK,PK</t>
  </si>
  <si>
    <t>FM0494</t>
  </si>
  <si>
    <t>TOFFEE ACCESSORY, 50GMS/PK, PK</t>
  </si>
  <si>
    <t>FM0495</t>
  </si>
  <si>
    <t>CARAMEL SAUCE(LAYERING), 445GMS/PK, PK</t>
  </si>
  <si>
    <t>FM0496</t>
  </si>
  <si>
    <t>CARAMEL CHURNING, 1.8KG/PK, PK</t>
  </si>
  <si>
    <t>FM0497</t>
  </si>
  <si>
    <t>BLUEBERRY VARIEGATO, 750GMS/PK, PK</t>
  </si>
  <si>
    <t>FM0498</t>
  </si>
  <si>
    <t>SANSRIVAL CAKE(DUMMY), PC</t>
  </si>
  <si>
    <t>FM0499</t>
  </si>
  <si>
    <t>MANGO JUBILLEE GELATO TUB, 1 LITER</t>
  </si>
  <si>
    <t>FM0500</t>
  </si>
  <si>
    <t>COOKIE POWDER, 250G / PACK</t>
  </si>
  <si>
    <t>FM0501</t>
  </si>
  <si>
    <t>CHEESE SAUCE, 250G/PK--KIOSK</t>
  </si>
  <si>
    <t>FM0502</t>
  </si>
  <si>
    <t>ROASTED MEAT, KG</t>
  </si>
  <si>
    <t>FM0503</t>
  </si>
  <si>
    <t>BEEF TAPA, 125GM/PK, PK</t>
  </si>
  <si>
    <t>FM0507</t>
  </si>
  <si>
    <t>SANSRIVAL CAKE SQUARE(DUMMY), WHOLE</t>
  </si>
  <si>
    <t>FM0508</t>
  </si>
  <si>
    <t>LEMON ZEST, KG</t>
  </si>
  <si>
    <t>FM0512</t>
  </si>
  <si>
    <t>PUFF PASTRY, GC(10PCS/RE), PC</t>
  </si>
  <si>
    <t>FM0518</t>
  </si>
  <si>
    <t>GELATO PUFF PASTRY(66PCS/RE), PC</t>
  </si>
  <si>
    <t>FM0519</t>
  </si>
  <si>
    <t>BLUEBERRY VARIEGATO, 100GMS/PK, PK</t>
  </si>
  <si>
    <t>FM0520</t>
  </si>
  <si>
    <t>GELATO PUFF PASTRY, 6PCS/PK, PK</t>
  </si>
  <si>
    <t>FM0521</t>
  </si>
  <si>
    <t>PEELED BANANA CAVENDISH, KG</t>
  </si>
  <si>
    <t>FM0522</t>
  </si>
  <si>
    <t>FRIED CALAMARI, PK</t>
  </si>
  <si>
    <t>FM0523</t>
  </si>
  <si>
    <t>SWEET PIZZA SAUCE, 228GMS/PK, PK</t>
  </si>
  <si>
    <t>FM0524</t>
  </si>
  <si>
    <t>MUSHROOM SOUP, 140G / PACK</t>
  </si>
  <si>
    <t>FM0525</t>
  </si>
  <si>
    <t>BREADED MOZARELLA STICKS,  12PCS / PACK</t>
  </si>
  <si>
    <t>FM0526</t>
  </si>
  <si>
    <t>SEAFOOD MEAT2, KG</t>
  </si>
  <si>
    <t>FM0527</t>
  </si>
  <si>
    <t>SEAFOOD STOCK2, KG</t>
  </si>
  <si>
    <t>FM0528</t>
  </si>
  <si>
    <t>MARINATED STRAWBERRY, KG</t>
  </si>
  <si>
    <t>FM0529</t>
  </si>
  <si>
    <t>MARINATED BLUEBERRY, KG</t>
  </si>
  <si>
    <t>FM0530</t>
  </si>
  <si>
    <t>MARINATED MANGO, KG</t>
  </si>
  <si>
    <t>FM0531</t>
  </si>
  <si>
    <t>SANSRIVAL WAFER SQUARE, PC</t>
  </si>
  <si>
    <t>FM0532</t>
  </si>
  <si>
    <t xml:space="preserve"> CARAMEL, CAKE MINI, PC </t>
  </si>
  <si>
    <t>FM0533</t>
  </si>
  <si>
    <t xml:space="preserve"> PISTACCHOCOLATO, CAKE MINI, PC </t>
  </si>
  <si>
    <t>FM0534</t>
  </si>
  <si>
    <t>CHOCOLATE THERAPY GELATO, 2.5/TRAY</t>
  </si>
  <si>
    <t>FM0536</t>
  </si>
  <si>
    <t>COOKIE DOUGH GELATO, 2.5/TRAY</t>
  </si>
  <si>
    <t>FM0537</t>
  </si>
  <si>
    <t>MANGO BERRY MEDLEY  GELATO, 2.5/TRAY</t>
  </si>
  <si>
    <t>FM0540</t>
  </si>
  <si>
    <t>BAKED FUDGE, 670G/PK, PK</t>
  </si>
  <si>
    <t>FM0541</t>
  </si>
  <si>
    <t>COOKIE DOUGH, 1.5KG/PK, PK</t>
  </si>
  <si>
    <t>FM0542</t>
  </si>
  <si>
    <t>CHOCO FUDGE SAUCE, 600G/PK, PK</t>
  </si>
  <si>
    <t>FM0543</t>
  </si>
  <si>
    <t>ROASTED MACADEMIA NUTS, 1KG/PK, PK</t>
  </si>
  <si>
    <t>FM0544</t>
  </si>
  <si>
    <t>WATERMELON FRUIT, SLICE, 120G/PK, PK</t>
  </si>
  <si>
    <t>FM0545</t>
  </si>
  <si>
    <t>GRAPES, PICKED, 80G/PK, PK</t>
  </si>
  <si>
    <t>FM0546</t>
  </si>
  <si>
    <t>MELON FRUIT, SLICES, 120G/PK, PK</t>
  </si>
  <si>
    <t>FM0547</t>
  </si>
  <si>
    <t>SUGAR SYRUP, 500G/PK, PK</t>
  </si>
  <si>
    <t>FM0548</t>
  </si>
  <si>
    <t>MAC AND CHEESE SAUCE, 600G/PK, PK</t>
  </si>
  <si>
    <t>FM0549</t>
  </si>
  <si>
    <t>CLAM CHOWDER, 150G/PK, PK</t>
  </si>
  <si>
    <t>FM0550</t>
  </si>
  <si>
    <t>PULLED PORK, 70G/PK, PK</t>
  </si>
  <si>
    <t>FM0551</t>
  </si>
  <si>
    <t>BARBEQUE SAUCE, 360G/PK, PK</t>
  </si>
  <si>
    <t>FM0552</t>
  </si>
  <si>
    <t>BRAISED PORK BELLY, 55G/PK, PK</t>
  </si>
  <si>
    <t>FM0553</t>
  </si>
  <si>
    <t>MUSHROOM PIECES AND STEMS, DRAINED, 100G/PK, PK</t>
  </si>
  <si>
    <t>FM0554</t>
  </si>
  <si>
    <t>NEW PORK SUGO, 200G/PK, PK</t>
  </si>
  <si>
    <t>FM0555</t>
  </si>
  <si>
    <t>MEATBALLS WITH SAUCE 735G(20PCS)/PK</t>
  </si>
  <si>
    <t>FM0556</t>
  </si>
  <si>
    <t>CITRUS DRESSING, 80G/PK, PK</t>
  </si>
  <si>
    <t>FM0557</t>
  </si>
  <si>
    <t>HONEY MUSTARD DIP, 240G/PK, PK</t>
  </si>
  <si>
    <t>FM0558</t>
  </si>
  <si>
    <t>CHICKEN TENDERS, 1 PC/PK, PK</t>
  </si>
  <si>
    <t>FM0559</t>
  </si>
  <si>
    <t>DRIED ROSEMARY, 12G/PK, PK</t>
  </si>
  <si>
    <t>FM0560</t>
  </si>
  <si>
    <t>BOILED PORK BELLY, 3SLC/PK, PK</t>
  </si>
  <si>
    <t>FM0561</t>
  </si>
  <si>
    <t>HERB SAUCE, 180G/PK, PK</t>
  </si>
  <si>
    <t>FM0562</t>
  </si>
  <si>
    <t>JACONDE STRIP BUBBLE YELLOW, PC</t>
  </si>
  <si>
    <t>FM0564</t>
  </si>
  <si>
    <t>MIDNIGHT DREAM CAKE IN-PROCESS, PC</t>
  </si>
  <si>
    <t>FM0565</t>
  </si>
  <si>
    <t>MIDNIGHT DREAM CAKE, PC</t>
  </si>
  <si>
    <t>FM0566</t>
  </si>
  <si>
    <t>CASHEW BRITTLE, 15G/PK, PK</t>
  </si>
  <si>
    <t>FM0567</t>
  </si>
  <si>
    <t>ZUPPA DI CAROTE, 140GRAMS/PACK</t>
  </si>
  <si>
    <t>FM0568</t>
  </si>
  <si>
    <t>STUFFED CHICKEN, 1SV/PK</t>
  </si>
  <si>
    <t>FM0569</t>
  </si>
  <si>
    <t>PISTACHIOCHOCOLATO IN- PROCESS(CAKE MINI), PC</t>
  </si>
  <si>
    <t>FM0570</t>
  </si>
  <si>
    <t>SMORES IN-PROCESS, PC</t>
  </si>
  <si>
    <t>FM0571</t>
  </si>
  <si>
    <t>SMORES CAKE, PC</t>
  </si>
  <si>
    <t>FM0572</t>
  </si>
  <si>
    <t>BUTTER-CREAM FILLING, KG</t>
  </si>
  <si>
    <t>FM0573</t>
  </si>
  <si>
    <t>CHOCOLATE FUDGE SYRUP, KG</t>
  </si>
  <si>
    <t>FM0574</t>
  </si>
  <si>
    <t>BOILED ICING-SMORES, KG</t>
  </si>
  <si>
    <t>FM0575</t>
  </si>
  <si>
    <t>CRUST-SMORES, KG</t>
  </si>
  <si>
    <t>FM0576</t>
  </si>
  <si>
    <t>CHOCOLATE MOUSSE FILLING, KG</t>
  </si>
  <si>
    <t>FM0577</t>
  </si>
  <si>
    <t>BUTTER CHOCOLATE CAKE, PC</t>
  </si>
  <si>
    <t>FM0578</t>
  </si>
  <si>
    <t>COOKIE DOUGH, KG</t>
  </si>
  <si>
    <t>FM0579</t>
  </si>
  <si>
    <t>BAKED FUDGE, KG</t>
  </si>
  <si>
    <t>FM0580</t>
  </si>
  <si>
    <t>VANILLA GELATO(COOKIE DOUGH), KG</t>
  </si>
  <si>
    <t>FM0581</t>
  </si>
  <si>
    <t>CARAMEL CAKE IN-PROCESS, PC</t>
  </si>
  <si>
    <t>FM0582</t>
  </si>
  <si>
    <t>CARAMEL CAKE IN-PROCESS(CAKE MINI), PC</t>
  </si>
  <si>
    <t>FM0584</t>
  </si>
  <si>
    <t>NATIVE BOILED PORK BELLY, 3SLC/PK, PK</t>
  </si>
  <si>
    <t>FM0585</t>
  </si>
  <si>
    <t>VEGETABLE, LETTUCE, ROMAINE, 250G/PK</t>
  </si>
  <si>
    <t>FM0586</t>
  </si>
  <si>
    <t>VEGETABLE, LETTUCE, GREEN ICE, 250G/PK</t>
  </si>
  <si>
    <t>FM0587</t>
  </si>
  <si>
    <t>VEGETABLE, LETTUCE, LOLLO ROSSA RED, 100G/PK</t>
  </si>
  <si>
    <t>FM0588</t>
  </si>
  <si>
    <t>NEW CHILI OIL (CONDIMENT), 1KG/PK</t>
  </si>
  <si>
    <t>FM0589</t>
  </si>
  <si>
    <t>CHEESE,PARMESAN GRATED, 500G/PK</t>
  </si>
  <si>
    <t>FM0590</t>
  </si>
  <si>
    <t>CHEESE,PARMESAN GRATED, 100G/PK</t>
  </si>
  <si>
    <t>FM0591</t>
  </si>
  <si>
    <t>CHOCOLATE SYMPHONY IN-PROCESS</t>
  </si>
  <si>
    <t>FM0592</t>
  </si>
  <si>
    <t>CHOCOLATE SYMPHONY GELATO CAKE, PC</t>
  </si>
  <si>
    <t>FM0593</t>
  </si>
  <si>
    <t>SEA SALTED HONEY CRUNCH IN-PROCESS</t>
  </si>
  <si>
    <t>FM0594</t>
  </si>
  <si>
    <t>SEA SALTED HONEY CRUNCH CAKE</t>
  </si>
  <si>
    <t>FM0596</t>
  </si>
  <si>
    <t>WALNUT PASTE, 200G/PK</t>
  </si>
  <si>
    <t>FM0597</t>
  </si>
  <si>
    <t>CAPERS SAUCE, 200G/PK</t>
  </si>
  <si>
    <t>FM0598</t>
  </si>
  <si>
    <t>PARMESAN CRUSTED SOLE, 2SLC/PK</t>
  </si>
  <si>
    <t>FM0599</t>
  </si>
  <si>
    <t>PESTO AIOLI SAUCE, 120G/PK</t>
  </si>
  <si>
    <t>FM0600</t>
  </si>
  <si>
    <t>CUCUMBER, 30G/PK</t>
  </si>
  <si>
    <t>FM0601</t>
  </si>
  <si>
    <t>SALTED COFFEE CRUNCH, 160G/PK</t>
  </si>
  <si>
    <t>FM0602</t>
  </si>
  <si>
    <t>GRATED CHOCOLATE, 50G/PK</t>
  </si>
  <si>
    <t>FM0603</t>
  </si>
  <si>
    <t>POTATO MARBLE, 500G/PK</t>
  </si>
  <si>
    <t>FM0605</t>
  </si>
  <si>
    <t>FRUIT, KIWI 50G/PK</t>
  </si>
  <si>
    <t>FM0606</t>
  </si>
  <si>
    <t>FRUIT, PINEAPPLE, 120G/PK</t>
  </si>
  <si>
    <t>FM0607</t>
  </si>
  <si>
    <t>HERBS, MINT LEAVES, FRESH, 25G/PK</t>
  </si>
  <si>
    <t>FM0608</t>
  </si>
  <si>
    <t>HONEY SEA SALTED CRUNCH (DUMMY), PC</t>
  </si>
  <si>
    <t>FM0609</t>
  </si>
  <si>
    <t>PINK HEART JACONDE, I RECIPE, 260 PCS</t>
  </si>
  <si>
    <t>FM0610</t>
  </si>
  <si>
    <t>PINK HEART JACONDE, PC</t>
  </si>
  <si>
    <t>FM0611</t>
  </si>
  <si>
    <t>PINK HEART ACCESSORY, PC</t>
  </si>
  <si>
    <t>FM0612</t>
  </si>
  <si>
    <t>ORANGE HEART JACONDE, I RECIPE, 260 PCS</t>
  </si>
  <si>
    <t>FM0613</t>
  </si>
  <si>
    <t>ORANGE HEART JACONDE, PC</t>
  </si>
  <si>
    <t>FM0614</t>
  </si>
  <si>
    <t>ORANGE HEART ACCESSORY, PC</t>
  </si>
  <si>
    <t>FM0615</t>
  </si>
  <si>
    <t>YELLOW HEART JACONDE, I RECIPE, 260 PCS</t>
  </si>
  <si>
    <t>FM0616</t>
  </si>
  <si>
    <t>YELLOW HEART JACONDE, PC</t>
  </si>
  <si>
    <t>FM0617</t>
  </si>
  <si>
    <t>YELLOW HEART ACCESSORY,  PC</t>
  </si>
  <si>
    <t>FM0618</t>
  </si>
  <si>
    <t>HEART ACCESSORY, PACK</t>
  </si>
  <si>
    <t>FM0619</t>
  </si>
  <si>
    <t xml:space="preserve">RISOTTO STOCK, 0.740KG/PK </t>
  </si>
  <si>
    <t>FM0620</t>
  </si>
  <si>
    <t xml:space="preserve">RISOTTO RICE, 0.540KG/PK </t>
  </si>
  <si>
    <t>FM0621</t>
  </si>
  <si>
    <t xml:space="preserve">NEW DURIAN, STYRO TUB, 0.500KG </t>
  </si>
  <si>
    <t>FM0622</t>
  </si>
  <si>
    <t>BLUEBERRY GELATO, STYRO TUB, 0.500KG</t>
  </si>
  <si>
    <t>FM0623</t>
  </si>
  <si>
    <t xml:space="preserve">MANGO GELATO, STYRO TUB, 0.500KG </t>
  </si>
  <si>
    <t>FM0624</t>
  </si>
  <si>
    <t xml:space="preserve">VANILLA GELATO, STYRO TUB, 0.500KG </t>
  </si>
  <si>
    <t>FM0625</t>
  </si>
  <si>
    <t>NEW CHILI OIL 500G/PK</t>
  </si>
  <si>
    <t>FM0626</t>
  </si>
  <si>
    <t>RED FLOWER, 1 RECIPE</t>
  </si>
  <si>
    <t>FM0627</t>
  </si>
  <si>
    <t>RED FLOWER, KG</t>
  </si>
  <si>
    <t>FM0628</t>
  </si>
  <si>
    <t>SMALL RED FLOWER, 1 PIECE</t>
  </si>
  <si>
    <t>FM0629</t>
  </si>
  <si>
    <t>MEDIUM RED FLOWER, 1 PIECE</t>
  </si>
  <si>
    <t>FM0630</t>
  </si>
  <si>
    <t>GREEN LEAVES, 1 RECIPE</t>
  </si>
  <si>
    <t>FM0631</t>
  </si>
  <si>
    <t>GREEN LEAVES, KG</t>
  </si>
  <si>
    <t>FM0632</t>
  </si>
  <si>
    <t xml:space="preserve">CARAMEL CAKE, 1 PIECE (BOUQUET FLOWERS)-VALENTINE </t>
  </si>
  <si>
    <t>FM0633</t>
  </si>
  <si>
    <t>CARAMEL CAKE MINI, 1 PIECE (BOUQUET FLOWERS)</t>
  </si>
  <si>
    <t>FM0640</t>
  </si>
  <si>
    <t>TURTLE PIE, 1 RECIPE</t>
  </si>
  <si>
    <t>FM0641</t>
  </si>
  <si>
    <t>TURTLE PIE, KG</t>
  </si>
  <si>
    <t>FM0642</t>
  </si>
  <si>
    <t>TURTLE PIE, 2.5KG/TRAY</t>
  </si>
  <si>
    <t>FM0643</t>
  </si>
  <si>
    <t>TURTLE PIE, SCP</t>
  </si>
  <si>
    <t>FM0648</t>
  </si>
  <si>
    <t>CARAMEL SAUCE 3, 1 RECIPE</t>
  </si>
  <si>
    <t>FM0655</t>
  </si>
  <si>
    <t>ESPRESSO GELATO, STYRO TUB, 0.500KG</t>
  </si>
  <si>
    <t>FM0656</t>
  </si>
  <si>
    <t>CARAMEL SAUCE 3, KG</t>
  </si>
  <si>
    <t>FM0657</t>
  </si>
  <si>
    <t>MANGO PIE, 10PCS/PK</t>
  </si>
  <si>
    <t>FM0658</t>
  </si>
  <si>
    <t>BRAZO CRUST, 10PCS/PK</t>
  </si>
  <si>
    <t>FM0659</t>
  </si>
  <si>
    <t>CARAMEL SAUCE 3, 400G/PK</t>
  </si>
  <si>
    <t>FM0660</t>
  </si>
  <si>
    <t>BANANA PASTE, 1.5KG/PK</t>
  </si>
  <si>
    <t>FM0661</t>
  </si>
  <si>
    <t>BAKED APPLES, 1.5KGS./PK</t>
  </si>
  <si>
    <t>FM0662</t>
  </si>
  <si>
    <t>NEW BREAD DOUGH, 1 RECIPE</t>
  </si>
  <si>
    <t>FM0663</t>
  </si>
  <si>
    <t>NEW BREAD DOUGH, KG</t>
  </si>
  <si>
    <t>FM0664</t>
  </si>
  <si>
    <t>SERVICE BREAD, 35GMS./PC</t>
  </si>
  <si>
    <t>FM0665</t>
  </si>
  <si>
    <t>SERVICE BREAD, 25 PCS./PACK</t>
  </si>
  <si>
    <t>FM0675</t>
  </si>
  <si>
    <t>NEW BRAZO DE MERCEDES (WHOLE)</t>
  </si>
  <si>
    <t>FM0676</t>
  </si>
  <si>
    <t>NEW BRAZO DE MERCEDES (HALF)</t>
  </si>
  <si>
    <t>FM0677</t>
  </si>
  <si>
    <t>BRAZO BOILED ICING, KG</t>
  </si>
  <si>
    <t>FM0678</t>
  </si>
  <si>
    <t>NEW SANS RIVAL, RE-DESIGN</t>
  </si>
  <si>
    <t>FM0679</t>
  </si>
  <si>
    <t>SMOKED BBQ SAUCE, 1 RECIPE</t>
  </si>
  <si>
    <t>FM0680</t>
  </si>
  <si>
    <t>SMOKED BBQ SAUCE, KG</t>
  </si>
  <si>
    <t>FM0681</t>
  </si>
  <si>
    <t>SMOKED BBQ, 515 GRAMS/ PK</t>
  </si>
  <si>
    <t>FM0682</t>
  </si>
  <si>
    <t>BOILED RIBS, 1 RECIPE</t>
  </si>
  <si>
    <t>FM0683</t>
  </si>
  <si>
    <t>BOILED RIBS, PIECE</t>
  </si>
  <si>
    <t>FM0684</t>
  </si>
  <si>
    <t>BOILED RIBS, 1 SV / PACK</t>
  </si>
  <si>
    <t>FM0685</t>
  </si>
  <si>
    <t>BURGER PATTY, 1 RECIPE</t>
  </si>
  <si>
    <t>FM0686</t>
  </si>
  <si>
    <t>BURGER PATTY, 90 GRAMS / PIECE</t>
  </si>
  <si>
    <t>FM0687</t>
  </si>
  <si>
    <t>BURGER PATTY, 2 PCS / PACK</t>
  </si>
  <si>
    <t>FM0688</t>
  </si>
  <si>
    <t>BEEF STEW, 1 RECIPE</t>
  </si>
  <si>
    <t>FM0689</t>
  </si>
  <si>
    <t xml:space="preserve">BEEF STEW, 850G/SERVING </t>
  </si>
  <si>
    <t>FM0691</t>
  </si>
  <si>
    <t>BEEF STEW, 1 SV / PACK</t>
  </si>
  <si>
    <t>FM0692</t>
  </si>
  <si>
    <t>MUSHROOM SAUCE, 1 RECIPE</t>
  </si>
  <si>
    <t>FM0693</t>
  </si>
  <si>
    <t>MUSHROOM SAUCE, KG</t>
  </si>
  <si>
    <t>FM0694</t>
  </si>
  <si>
    <t>MUSHROOM SAUCE, 320G/PACK</t>
  </si>
  <si>
    <t>FM0695</t>
  </si>
  <si>
    <t>SAVORY BREADED CHICKEN, 1 RECIPE</t>
  </si>
  <si>
    <t>FM0696</t>
  </si>
  <si>
    <t>SAVORY BREADED CHICKEN, PIECE</t>
  </si>
  <si>
    <t>FM0697</t>
  </si>
  <si>
    <t>SAVORY BREADED CHICKEN, 1 SV / PACK</t>
  </si>
  <si>
    <t>FM0698</t>
  </si>
  <si>
    <t>GARLIC SPREAD, 1 RECIPE</t>
  </si>
  <si>
    <t>FM0699</t>
  </si>
  <si>
    <t>GARLIC SPREAD, KG</t>
  </si>
  <si>
    <t>FM0700</t>
  </si>
  <si>
    <t>GARLIC SPREAD, 360 GRAMS / PACK</t>
  </si>
  <si>
    <t>FM0701</t>
  </si>
  <si>
    <t>BURGER PATTY, 130 GRAMS / PIECE</t>
  </si>
  <si>
    <t>FM0702</t>
  </si>
  <si>
    <t>BURGER PATTY, 1 PC / PACK</t>
  </si>
  <si>
    <t>FM0703</t>
  </si>
  <si>
    <t>CIOCOLLATO GELATO, 2.5 KG/TRAY</t>
  </si>
  <si>
    <t>FM0704</t>
  </si>
  <si>
    <t>GANACHE LESS SWEET, 1  RECIPE</t>
  </si>
  <si>
    <t>FM0705</t>
  </si>
  <si>
    <t>GANACHE LESS SWEET, KG</t>
  </si>
  <si>
    <t>FM0707</t>
  </si>
  <si>
    <t>TURTLE PIE, 4.5KG/TRAY</t>
  </si>
  <si>
    <t>FM0709</t>
  </si>
  <si>
    <t>WHITE CHIFFON SHEET, PACK</t>
  </si>
  <si>
    <t>FM0710</t>
  </si>
  <si>
    <t>BREADSTICK, PIECE</t>
  </si>
  <si>
    <t>FM0711</t>
  </si>
  <si>
    <t>BREADSTICK, PACK</t>
  </si>
  <si>
    <t>FM0712</t>
  </si>
  <si>
    <t>BREADCRUMBS, KG</t>
  </si>
  <si>
    <t>FM0713</t>
  </si>
  <si>
    <t>BREADCRUMBS, PACK</t>
  </si>
  <si>
    <t>FM0714</t>
  </si>
  <si>
    <t>STRAWBERRY SUPREME, 5KG./TRAY</t>
  </si>
  <si>
    <t>FM0715</t>
  </si>
  <si>
    <t>OREO COOKIES N' CREAM, 5KG./TRAY</t>
  </si>
  <si>
    <t>FM0716</t>
  </si>
  <si>
    <t>PISTACHIO, 5KG./TRAY</t>
  </si>
  <si>
    <t>FM0718</t>
  </si>
  <si>
    <t>CHOCO SANS RIVAL, 5KG./TRAY</t>
  </si>
  <si>
    <t>FM0719</t>
  </si>
  <si>
    <t>SANS RIVAL, 5KG./TRAY</t>
  </si>
  <si>
    <t>FM0720</t>
  </si>
  <si>
    <t>CIOCCOLATO, 5KG./TRAY</t>
  </si>
  <si>
    <t>FM0722</t>
  </si>
  <si>
    <t>TOFFEE ALMOND, 5KG./TRAY</t>
  </si>
  <si>
    <t>FM0725</t>
  </si>
  <si>
    <t>BLUEBERRY CHEESECAKE, 5KG./TRAY</t>
  </si>
  <si>
    <t>FM0726</t>
  </si>
  <si>
    <t>CHOCOLATE THERAPY, 5KG./TRAY</t>
  </si>
  <si>
    <t>FM0727</t>
  </si>
  <si>
    <t>COOKIE DOUGH, 5KG./TRAY</t>
  </si>
  <si>
    <t>FM0729</t>
  </si>
  <si>
    <t>MANGO BERRY MEDLEY, 5KG./TRAY</t>
  </si>
  <si>
    <t>FM0731</t>
  </si>
  <si>
    <t>TURTLE PIE, 5KG./TRAY</t>
  </si>
  <si>
    <t>FM0733</t>
  </si>
  <si>
    <t>FERRERO, 5KG./TRAY</t>
  </si>
  <si>
    <t>FM0735</t>
  </si>
  <si>
    <t>MINT WITH CHOCOLATE, 5KG./TRAY</t>
  </si>
  <si>
    <t>FM0736</t>
  </si>
  <si>
    <t>ESPRESSO, 5KG./TRAY</t>
  </si>
  <si>
    <t>FM0737</t>
  </si>
  <si>
    <t>LETTUCE, ICEBERG, 250G/PK</t>
  </si>
  <si>
    <t>FM0738</t>
  </si>
  <si>
    <t>STRAWBERRY SUPREME, 5KG./TRAY,5% MORE</t>
  </si>
  <si>
    <t>FM0739</t>
  </si>
  <si>
    <t>OREO COOKIES N' CREAM, 5KG./TRAY,5% MORE</t>
  </si>
  <si>
    <t>FM0740</t>
  </si>
  <si>
    <t>PISTACHIO, 5KG./TRAY,5% MORE</t>
  </si>
  <si>
    <t>FM0742</t>
  </si>
  <si>
    <t>CHOCO SANS RIVAL, 5KG./TRAY,5% MORE</t>
  </si>
  <si>
    <t>FM0743</t>
  </si>
  <si>
    <t>SANS RIVAL, 5KG./TRAY,5% MORE</t>
  </si>
  <si>
    <t>FM0744</t>
  </si>
  <si>
    <t>CIOCCOLATO, 5KG./TRAY,5% MORE</t>
  </si>
  <si>
    <t>FM0746</t>
  </si>
  <si>
    <t>TOFFEE ALMOND, 5KG./TRAY,5% MORE</t>
  </si>
  <si>
    <t>FM0747</t>
  </si>
  <si>
    <t>DURIAN, 5KG./TRAY,5% MORE</t>
  </si>
  <si>
    <t>FM0748</t>
  </si>
  <si>
    <t>SALTED CARAMEL, 5KG./TRAY,5% MORE</t>
  </si>
  <si>
    <t>FM0749</t>
  </si>
  <si>
    <t>BLUEBERRY CHEESECAKE, 5KG./TRAY,5% MORE</t>
  </si>
  <si>
    <t>FM0750</t>
  </si>
  <si>
    <t>CHOCOLATE THERAPY, 5KG./TRAY,5% MORE</t>
  </si>
  <si>
    <t>FM0751</t>
  </si>
  <si>
    <t>COOKIE DOUGH, 5KG./TRAY,5% MORE</t>
  </si>
  <si>
    <t>FM0753</t>
  </si>
  <si>
    <t>MANGO BERRY MEDLEY, 5KG./TRAY,5% MORE</t>
  </si>
  <si>
    <t>FM0755</t>
  </si>
  <si>
    <t>TURTLE PIE, 5KG./TRAY,5% MORE</t>
  </si>
  <si>
    <t>FM0757</t>
  </si>
  <si>
    <t>FERRERO, 5KG./TRAY,5% MORE</t>
  </si>
  <si>
    <t>FM0759</t>
  </si>
  <si>
    <t>MINT WITH CHOCOLATE, 5KG./TRAY,5% MORE</t>
  </si>
  <si>
    <t>FM0760</t>
  </si>
  <si>
    <t>ESPRESSO, 5KG./TRAY,5% MORE</t>
  </si>
  <si>
    <t>FM0761</t>
  </si>
  <si>
    <t>STRAWBERRY SUPREME, 2.5KG./TRAY,5% MORE</t>
  </si>
  <si>
    <t>FM0762</t>
  </si>
  <si>
    <t>OREO COOKIES N' CREAM, 2.5KG./TRAY,5% MORE</t>
  </si>
  <si>
    <t>FM0763</t>
  </si>
  <si>
    <t>PISTACHIO, 2.5KG./TRAY,5% MORE</t>
  </si>
  <si>
    <t>FM0765</t>
  </si>
  <si>
    <t>CHOCO SANS RIVAL, 2.5KG./TRAY,5% MORE</t>
  </si>
  <si>
    <t>FM0766</t>
  </si>
  <si>
    <t>SANS RIVAL, 2.5KG./TRAY,5% MORE</t>
  </si>
  <si>
    <t>FM0767</t>
  </si>
  <si>
    <t>CIOCCOLATO, 2.5KG./TRAY,5% MORE</t>
  </si>
  <si>
    <t>FM0769</t>
  </si>
  <si>
    <t>TOFFEE ALMOND, 2.5KG./TRAY,5% MORE</t>
  </si>
  <si>
    <t>FM0772</t>
  </si>
  <si>
    <t>BLUEBERRY CHEESECAKE, 2.5KG./TRAY,5% MORE</t>
  </si>
  <si>
    <t>FM0773</t>
  </si>
  <si>
    <t>CHOCOLATE THERAPY, 2.5KG./TRAY,5% MORE</t>
  </si>
  <si>
    <t>FM0774</t>
  </si>
  <si>
    <t>COOKIE DOUGH, 2.5KG./TRAY,5% MORE</t>
  </si>
  <si>
    <t>FM0776</t>
  </si>
  <si>
    <t>MANGO BERRY MEDLEY, 2.5KG./TRAY,5% MORE</t>
  </si>
  <si>
    <t>FM0778</t>
  </si>
  <si>
    <t>TURTLE PIE, 2.5KG./TRAY,5% MORE</t>
  </si>
  <si>
    <t>FM0780</t>
  </si>
  <si>
    <t>FERRERO, 2.5KG./TRAY,5% MORE</t>
  </si>
  <si>
    <t>FM0782</t>
  </si>
  <si>
    <t>MINT WITH CHOCOLATE, 2.5KG./TRAY,5% MORE</t>
  </si>
  <si>
    <t>FM0783</t>
  </si>
  <si>
    <t>ESPRESSO, 2.5KG./TRAY,5% MORE</t>
  </si>
  <si>
    <t>FM0784</t>
  </si>
  <si>
    <t>STRAWBERRY SUPREME, 4.5KG./TRAY,5% MORE</t>
  </si>
  <si>
    <t>FM0785</t>
  </si>
  <si>
    <t>OREO COOKIES N' CREAM, 4.5KG./TRAY,5% MORE</t>
  </si>
  <si>
    <t>FM0786</t>
  </si>
  <si>
    <t>PISTACHIO, 4.5KG./TRAY,5% MORE</t>
  </si>
  <si>
    <t>FM0788</t>
  </si>
  <si>
    <t>CHOCO SANS RIVAL, 4.5KG./TRAY,5% MORE</t>
  </si>
  <si>
    <t>FM0789</t>
  </si>
  <si>
    <t>SANS RIVAL, 4.5KG./TRAY,5% MORE</t>
  </si>
  <si>
    <t>FM0790</t>
  </si>
  <si>
    <t>CIOCCOLATO, 4.5KG./TRAY,5% MORE</t>
  </si>
  <si>
    <t>FM0792</t>
  </si>
  <si>
    <t>TOFFEE ALMOND, 4.5KG./TRAY,5% MORE</t>
  </si>
  <si>
    <t>FM0795</t>
  </si>
  <si>
    <t>BLUEBERRY CHEESECAKE, 4.5KG./TRAY,5% MORE</t>
  </si>
  <si>
    <t>FM0796</t>
  </si>
  <si>
    <t>CHOCOLATE THERAPY, 4.5KG./TRAY,5% MORE</t>
  </si>
  <si>
    <t>FM0797</t>
  </si>
  <si>
    <t>COOKIE DOUGH, 4.5KG./TRAY</t>
  </si>
  <si>
    <t>FM0799</t>
  </si>
  <si>
    <t>MANGO BERRY MEDLEY, 4.5KG./TRAY,5% MORE</t>
  </si>
  <si>
    <t>FM0801</t>
  </si>
  <si>
    <t>TURTLE PIE, 4.5KG./TRAY,5% MORE</t>
  </si>
  <si>
    <t>FM0802</t>
  </si>
  <si>
    <t>MANGO CREAM PIE, 4.5KG./TRAY,5% MORE</t>
  </si>
  <si>
    <t>FM0803</t>
  </si>
  <si>
    <t>FERRERO, 4.5KG./TRAY,5% MORE</t>
  </si>
  <si>
    <t>FM0805</t>
  </si>
  <si>
    <t>MINT WITH CHOCOLATE, 4.5KG./TRAY</t>
  </si>
  <si>
    <t>FM0806</t>
  </si>
  <si>
    <t>ESPRESSO, 4.5KG./TRAY,5% MORE</t>
  </si>
  <si>
    <t>FM0807</t>
  </si>
  <si>
    <t>CHICKEN SAUCE, 320G/PK, BY PRODUCT</t>
  </si>
  <si>
    <t>FM0808</t>
  </si>
  <si>
    <t>CHICKEN SAUCE, 160G/PK, BY PRODUCT</t>
  </si>
  <si>
    <t>FM0809</t>
  </si>
  <si>
    <t>DUSTING FLOUR 2KG/PK</t>
  </si>
  <si>
    <t>FM0810</t>
  </si>
  <si>
    <t>SANSRIVAL CAKE SQUARE(DUMMY), PC , ( NEW DESIGN )</t>
  </si>
  <si>
    <t>FM0811</t>
  </si>
  <si>
    <t>SANSRIVAL ICING, 1KG/PACK, PK</t>
  </si>
  <si>
    <t>FM0812</t>
  </si>
  <si>
    <t>EGG MILK MIXTURE</t>
  </si>
  <si>
    <t>FM0813</t>
  </si>
  <si>
    <t>NEW CROUTONS, 50G/PK</t>
  </si>
  <si>
    <t>FM0814</t>
  </si>
  <si>
    <t>DRIED OREGANO, 10G / PACK</t>
  </si>
  <si>
    <t>FM0815</t>
  </si>
  <si>
    <t>STEAK SAUCE, 60GRAMS/PACK</t>
  </si>
  <si>
    <t>FM0816</t>
  </si>
  <si>
    <t>SQUASH, 240 GRAMS/PACK</t>
  </si>
  <si>
    <t>FM0817</t>
  </si>
  <si>
    <t>NEW GUIANDUIA GELATO, 4.5KG/TRAY, TR</t>
  </si>
  <si>
    <t>FM0818</t>
  </si>
  <si>
    <t>SANS RIVAL GELATO, 2.5 KG TRAY</t>
  </si>
  <si>
    <t>FM0819</t>
  </si>
  <si>
    <t>STRAWBERRY GELATO, 2.5 KG TRAY</t>
  </si>
  <si>
    <t>FM0820</t>
  </si>
  <si>
    <t>CHOCO SANS RIVAL, 2.5KG/TRAY</t>
  </si>
  <si>
    <t>FM0821</t>
  </si>
  <si>
    <t>BLUEBERRY CHEESECAKE GELATO, 4.5KG/TRAY</t>
  </si>
  <si>
    <t>FM0822</t>
  </si>
  <si>
    <t>CHOCOLATE THERAPY GELATO, 4.5/TRAY</t>
  </si>
  <si>
    <t>FM0823</t>
  </si>
  <si>
    <t>DUCK RAVIOLI, PC</t>
  </si>
  <si>
    <t>FM0824</t>
  </si>
  <si>
    <t>CHERRY CHOCOLATE BLISS, PC</t>
  </si>
  <si>
    <t>FM0825</t>
  </si>
  <si>
    <t>MUSHROOM, OYSTER, 250G/PACK</t>
  </si>
  <si>
    <t>FM0826</t>
  </si>
  <si>
    <t>CREAM CHEESE / 1KG - ATG</t>
  </si>
  <si>
    <t>FM0827</t>
  </si>
  <si>
    <t>OREO COOKIES N' CREAM, 4.5KG./TRAY</t>
  </si>
  <si>
    <t>FM0828</t>
  </si>
  <si>
    <t>MACADAMIA NUTS 1KG/PK (BAKED) - ATG</t>
  </si>
  <si>
    <t>FM0829</t>
  </si>
  <si>
    <t>PECAN NUTS 1 KG/PK (BAKED) - ATG</t>
  </si>
  <si>
    <t>FM0830</t>
  </si>
  <si>
    <t>PREMIX HS063, 1KG/PK</t>
  </si>
  <si>
    <t>FM0831</t>
  </si>
  <si>
    <t>SERVICE BREAD, 10 PCS./PACK</t>
  </si>
  <si>
    <t>FM0832</t>
  </si>
  <si>
    <t>RAGU SAUCE, 405G/PK</t>
  </si>
  <si>
    <t>FM0833</t>
  </si>
  <si>
    <t>PROSCUITTO SLICED, 100G / PACK</t>
  </si>
  <si>
    <t>FM0834</t>
  </si>
  <si>
    <t>SPINACH ARTICHOKE DIP, 120G/PK, PK</t>
  </si>
  <si>
    <t>FM0835</t>
  </si>
  <si>
    <t>ROASTED CAPSICUM BELLPEPPERS, 60G/PK, PK</t>
  </si>
  <si>
    <t>FM0840</t>
  </si>
  <si>
    <t>PECAN BARS, 10PCS/BX - UNDER HIGHLAND</t>
  </si>
  <si>
    <t>FM0841</t>
  </si>
  <si>
    <t>LEMON BARS, 10PCS/BX - UNDER HIGHLAND</t>
  </si>
  <si>
    <t>FM0842</t>
  </si>
  <si>
    <t>REVEL BARS, 10PCS/BX - UNDER HIGHLAND</t>
  </si>
  <si>
    <t>FM0843</t>
  </si>
  <si>
    <t>BROWNIES, 10PCS/BX - UNDER HIGHLAND</t>
  </si>
  <si>
    <t>FM0844</t>
  </si>
  <si>
    <t>BAILEYS GELATO 2.5 KG + 5% - UNDER SARAP DAPAT</t>
  </si>
  <si>
    <t>FM0846</t>
  </si>
  <si>
    <t>SEA SALTED CRUNCH 140 GM</t>
  </si>
  <si>
    <t>FM0847</t>
  </si>
  <si>
    <t>BAILEYS CHOCOLATE GELATO, 4.5KG/TRAY</t>
  </si>
  <si>
    <t>FM0848</t>
  </si>
  <si>
    <t>CHOCO BAILEYS 4.5KG</t>
  </si>
  <si>
    <t>FM0849</t>
  </si>
  <si>
    <t>MANGO CREAM PIE 4.5 KG</t>
  </si>
  <si>
    <t>FM0850</t>
  </si>
  <si>
    <t>BLACK FOREST GELATO 4.5KG</t>
  </si>
  <si>
    <t>FM0851</t>
  </si>
  <si>
    <t>CHOCO BAILEYS 2.5KG</t>
  </si>
  <si>
    <t>FM0852</t>
  </si>
  <si>
    <t>MANGO CREAM PIE 2.5KG</t>
  </si>
  <si>
    <t>FM0853</t>
  </si>
  <si>
    <t>BLACK FOREST 2.5KG</t>
  </si>
  <si>
    <t>FM0854</t>
  </si>
  <si>
    <t>CHOCO BAILEYS 2.5KG (+5%)</t>
  </si>
  <si>
    <t>FM0855</t>
  </si>
  <si>
    <t xml:space="preserve">MANGO CREAM PIE 5KG </t>
  </si>
  <si>
    <t>FM0856</t>
  </si>
  <si>
    <t>BLACK FOREST 2.5KG (+5%)</t>
  </si>
  <si>
    <t>FM0857</t>
  </si>
  <si>
    <t>CHOCO BAILEYS 4.5KG (+5%)</t>
  </si>
  <si>
    <t>FM0858</t>
  </si>
  <si>
    <t>MANGO CREAM PIE 4.5KG (+5%)</t>
  </si>
  <si>
    <t>FM0859</t>
  </si>
  <si>
    <t>BLACK FOREST 4.5KG (+5%)</t>
  </si>
  <si>
    <t>FM0860</t>
  </si>
  <si>
    <t>BLACK FOREST GELATO, 1 RECIPE</t>
  </si>
  <si>
    <t>FM0862</t>
  </si>
  <si>
    <t>BLACK FOREST GELATO, KG</t>
  </si>
  <si>
    <t>FM0863</t>
  </si>
  <si>
    <t>BLACK FOREST GELATO, SCP</t>
  </si>
  <si>
    <t>G</t>
  </si>
  <si>
    <t>FM0864</t>
  </si>
  <si>
    <t>BAILEYS CHOCOLATE 1 RECIPE</t>
  </si>
  <si>
    <t>FM0865</t>
  </si>
  <si>
    <t>BAILEYS CHOCOLATE, SCP</t>
  </si>
  <si>
    <t>FM0866</t>
  </si>
  <si>
    <t>MANGO CREAM PIE, 1 RECIPE</t>
  </si>
  <si>
    <t>FM0867</t>
  </si>
  <si>
    <t>MANGO CREAM PIE, KG</t>
  </si>
  <si>
    <t>FM0868</t>
  </si>
  <si>
    <t>MANGO CREAM PIE, SCP</t>
  </si>
  <si>
    <t>FM0869</t>
  </si>
  <si>
    <t>BLACK FOREST GELATO 4.5KG/TRAY</t>
  </si>
  <si>
    <t>FM0870</t>
  </si>
  <si>
    <t>MANGO CREAM PIE GELATO, 4.5 KG/TRAY</t>
  </si>
  <si>
    <t>FM0871</t>
  </si>
  <si>
    <t>MANGO MAGNIFICO FILLING/ ICING, RECIPE</t>
  </si>
  <si>
    <t>FM0872</t>
  </si>
  <si>
    <t>MANGO MAGNIFICO FILLING/ ICING, KG</t>
  </si>
  <si>
    <t>FM0873</t>
  </si>
  <si>
    <t>MANGO MAGNIFICO IN-PROCESS, PC</t>
  </si>
  <si>
    <t>FM0874</t>
  </si>
  <si>
    <t>MANGO MAGNIFICO CAKE, PC</t>
  </si>
  <si>
    <t>FM0875</t>
  </si>
  <si>
    <t>WHITE TRIANGLE ACCESSORY, PC</t>
  </si>
  <si>
    <t>FM0876</t>
  </si>
  <si>
    <t>CHOCO TRIANGLE ACCESSORY, PC</t>
  </si>
  <si>
    <t>FM0877</t>
  </si>
  <si>
    <t>NY CHEESECAKE CRUST</t>
  </si>
  <si>
    <t>FM0878</t>
  </si>
  <si>
    <t>NY CHEESECAKE BATTER</t>
  </si>
  <si>
    <t>FM0879</t>
  </si>
  <si>
    <t>NY CHEESECAKE PC</t>
  </si>
  <si>
    <t>FM0880</t>
  </si>
  <si>
    <t>VEGETABLE, TOMATO, WHOLE PEELED, 700GMS</t>
  </si>
  <si>
    <t>FM0881</t>
  </si>
  <si>
    <t>FISH, SALMON, FILLET, 100GMS</t>
  </si>
  <si>
    <t>FM0882</t>
  </si>
  <si>
    <t>CRUST, BUTTER, HERBED</t>
  </si>
  <si>
    <t>FM0883</t>
  </si>
  <si>
    <t>CRUST, BUTTER, HERBED, 250GMS</t>
  </si>
  <si>
    <t>FM0884</t>
  </si>
  <si>
    <t>VEGETABLE, ARUGULA, 200GMS</t>
  </si>
  <si>
    <t>FM0885</t>
  </si>
  <si>
    <t>SLIDERS BURGER PATTY, PIECE</t>
  </si>
  <si>
    <t>FM0886</t>
  </si>
  <si>
    <t>SLIDERS BURGER PATTY, PACK</t>
  </si>
  <si>
    <t>FM0887</t>
  </si>
  <si>
    <t>SPINACH CANNELLONI, KIOSK, TRAY</t>
  </si>
  <si>
    <t>FM0888</t>
  </si>
  <si>
    <t>NEW ADOBO FLAKES</t>
  </si>
  <si>
    <t>FM0889</t>
  </si>
  <si>
    <t>NEW ADOBO FLAKES, 400GRAMS</t>
  </si>
  <si>
    <t>FM0890</t>
  </si>
  <si>
    <t>VEGETABLE, RED ONIONS, 250GMS</t>
  </si>
  <si>
    <t>FM0891</t>
  </si>
  <si>
    <t>SYRUP, STRACIATELLA, 120GMS</t>
  </si>
  <si>
    <t>FM0892</t>
  </si>
  <si>
    <t>SAUCE, CARAMEL 120GMS</t>
  </si>
  <si>
    <t>FM0893</t>
  </si>
  <si>
    <t>DIP, HONEY MUSTARD, 120GMS</t>
  </si>
  <si>
    <t>FM0894</t>
  </si>
  <si>
    <t>BREADCRUMBS, 50GMS</t>
  </si>
  <si>
    <t>FM0895</t>
  </si>
  <si>
    <t>SAUCE, CARAMEL</t>
  </si>
  <si>
    <t>FM0896</t>
  </si>
  <si>
    <t>NEW PECAN BARS, BX</t>
  </si>
  <si>
    <t>FM0897</t>
  </si>
  <si>
    <t>NEW REVEL BARS, BX</t>
  </si>
  <si>
    <t>FM0898</t>
  </si>
  <si>
    <t>NEW LEMON BARS, BX</t>
  </si>
  <si>
    <t>FM0899</t>
  </si>
  <si>
    <t>NEW BROWNIES, BX</t>
  </si>
  <si>
    <t>FM0900</t>
  </si>
  <si>
    <t>NEW ASSORTED BARS, BX</t>
  </si>
  <si>
    <t>FM0901</t>
  </si>
  <si>
    <t>RED COLORED CHOCOLATE, KG</t>
  </si>
  <si>
    <t>FM0902</t>
  </si>
  <si>
    <t>GREEN JACONDE, TREE CUT, RECIPE</t>
  </si>
  <si>
    <t>FM0903</t>
  </si>
  <si>
    <t>ACCESSORY, CHRISTMAS TREE</t>
  </si>
  <si>
    <t>FM0904</t>
  </si>
  <si>
    <t>RED JACONDE, CHRISTMAS BALL, RECIPE</t>
  </si>
  <si>
    <t>FM0905</t>
  </si>
  <si>
    <t>GREEN COLORED CHOCOLATE, KG</t>
  </si>
  <si>
    <t>FM0906</t>
  </si>
  <si>
    <t>ACCESSORY, CHRISTMAS BALL</t>
  </si>
  <si>
    <t>FM0907</t>
  </si>
  <si>
    <t>WHITE JACONDE, SNOWFLAKE, RECIPE</t>
  </si>
  <si>
    <t>FM0908</t>
  </si>
  <si>
    <t>ACCESSORY, SNOWFLAKE</t>
  </si>
  <si>
    <t>FM0909</t>
  </si>
  <si>
    <t>ACCESSORY, CHRISTMAS PACK</t>
  </si>
  <si>
    <t>FM0910</t>
  </si>
  <si>
    <t>TREE CUT JACONDE, PC</t>
  </si>
  <si>
    <t>FM0911</t>
  </si>
  <si>
    <t>CHRISTMAS BALL JACONDE, PC</t>
  </si>
  <si>
    <t>FM0912</t>
  </si>
  <si>
    <t>SNOWFLAKE CUT JACONDE, PC</t>
  </si>
  <si>
    <t>FM0913</t>
  </si>
  <si>
    <t>LEMON HONEY VINAIGRETTE, PK</t>
  </si>
  <si>
    <t>FM0914</t>
  </si>
  <si>
    <t>CHOCO STICKS, PC</t>
  </si>
  <si>
    <t>FM0915</t>
  </si>
  <si>
    <t>NEW CHOCOLATE ACCESSORY, BOX</t>
  </si>
  <si>
    <t>FM0916</t>
  </si>
  <si>
    <t>PISTACHIO NUTS, 50GMS/PK</t>
  </si>
  <si>
    <t>FM0917</t>
  </si>
  <si>
    <t>HAZELNUT, 50GMS/PK</t>
  </si>
  <si>
    <t>FM0918</t>
  </si>
  <si>
    <t>CONE WAFER W/COATING,PC</t>
  </si>
  <si>
    <t>FM0919</t>
  </si>
  <si>
    <t>CHOCOLATE TWIGS, KG</t>
  </si>
  <si>
    <t>FM0920</t>
  </si>
  <si>
    <t>CHERRY CHOCO BLISS, IN-PROCESS</t>
  </si>
  <si>
    <t>FM0921</t>
  </si>
  <si>
    <t>RED BROWN TWIST, KG</t>
  </si>
  <si>
    <t>FM0922</t>
  </si>
  <si>
    <t>RED BROWN WALL, KG</t>
  </si>
  <si>
    <t>FM0923</t>
  </si>
  <si>
    <t>UNSALTED COFFEE CRUNCH, KG</t>
  </si>
  <si>
    <t>FM0924</t>
  </si>
  <si>
    <t>CCB-CHOCOLATE MOUSSE, KG</t>
  </si>
  <si>
    <t>FM0925</t>
  </si>
  <si>
    <t>CCB-CHERRY JAM, KG</t>
  </si>
  <si>
    <t>FM0926</t>
  </si>
  <si>
    <t>CHEESE SAUCE, KG</t>
  </si>
  <si>
    <t>FM0927</t>
  </si>
  <si>
    <t>NEW BECHAMEL SAUCE, KG</t>
  </si>
  <si>
    <t>FM0928</t>
  </si>
  <si>
    <t>COOKIE DOUGH GELATO, KG</t>
  </si>
  <si>
    <t>FM0929</t>
  </si>
  <si>
    <t>CHOCOLATE THERAPY GELATO, KG</t>
  </si>
  <si>
    <t>FM0930</t>
  </si>
  <si>
    <t>BAILEYS MILK CHOCOLATE GELATO, KG</t>
  </si>
  <si>
    <t>FM0931</t>
  </si>
  <si>
    <t>MANGO BERRY MEDLEY GELATO, KG</t>
  </si>
  <si>
    <t>FM0932</t>
  </si>
  <si>
    <t>WHITE FROSTING (60-40)</t>
  </si>
  <si>
    <t>FM0933</t>
  </si>
  <si>
    <t>GLUCOSE SOLUTION, KG</t>
  </si>
  <si>
    <t>FM0934</t>
  </si>
  <si>
    <t>YELLOW MIROIR</t>
  </si>
  <si>
    <t>FM0935</t>
  </si>
  <si>
    <t>CASHEW BRITTLE</t>
  </si>
  <si>
    <t>FM0936</t>
  </si>
  <si>
    <t>SALTED COFFEE CRUNCH</t>
  </si>
  <si>
    <t>FM0937</t>
  </si>
  <si>
    <t>NEW BRAZO DE MERCEDES, WHOLE, IN-PROCESS</t>
  </si>
  <si>
    <t>FM0938</t>
  </si>
  <si>
    <t>NEW BRAZO DE MERCEDES, HALF, IN-PROCESS</t>
  </si>
  <si>
    <t>FM0939</t>
  </si>
  <si>
    <t xml:space="preserve"> WHITE CHIFFON, (NEW) PC  </t>
  </si>
  <si>
    <t>FM0940</t>
  </si>
  <si>
    <t>STEAK SAUCE, KG</t>
  </si>
  <si>
    <t>FM0941</t>
  </si>
  <si>
    <t>PARMESAN CRUSTED SOLE, RECIPE</t>
  </si>
  <si>
    <t>RCP</t>
  </si>
  <si>
    <t>FM0942</t>
  </si>
  <si>
    <t>CAPERS SAUCE, KG</t>
  </si>
  <si>
    <t>FM0943</t>
  </si>
  <si>
    <t>NATIVE BOILED PORK BELLY, RECIPE</t>
  </si>
  <si>
    <t>FM0944</t>
  </si>
  <si>
    <t>ZUPPA DI CAROTE, KG</t>
  </si>
  <si>
    <t>FM0945</t>
  </si>
  <si>
    <t>HERB SAUCE, KG</t>
  </si>
  <si>
    <t>FM0946</t>
  </si>
  <si>
    <t>BOILED PORK BELLY, RECIPE</t>
  </si>
  <si>
    <t>FM0947</t>
  </si>
  <si>
    <t>CHICKEN TENDERS, RECIPE</t>
  </si>
  <si>
    <t>FM0948</t>
  </si>
  <si>
    <t>HONEY MUSTARD DIP, KG</t>
  </si>
  <si>
    <t>FM0949</t>
  </si>
  <si>
    <t>MEATBALLS, PC</t>
  </si>
  <si>
    <t>FM0950</t>
  </si>
  <si>
    <t>MEATBALLS WITH SAUCE, RECIPE</t>
  </si>
  <si>
    <t>FM0951</t>
  </si>
  <si>
    <t>BREADED MOZARELLA STICK, PC</t>
  </si>
  <si>
    <t>FM0952</t>
  </si>
  <si>
    <t>MUSHROOM SOUP, KG</t>
  </si>
  <si>
    <t>FM0953</t>
  </si>
  <si>
    <t>SWEET PIZZA SAUCE, KG</t>
  </si>
  <si>
    <t>FM0954</t>
  </si>
  <si>
    <t>CUCUMBER SALAD, KG</t>
  </si>
  <si>
    <t>FM0955</t>
  </si>
  <si>
    <t>RED WINE VINAIGRETTE, KG</t>
  </si>
  <si>
    <t>FM0956</t>
  </si>
  <si>
    <t>CANDIED WALNUT, KG</t>
  </si>
  <si>
    <t>FM0957</t>
  </si>
  <si>
    <t>SESAME DRESSING, KG</t>
  </si>
  <si>
    <t>FM0958</t>
  </si>
  <si>
    <t>BREADED CHICKEN FILLET, PC</t>
  </si>
  <si>
    <t>FM0959</t>
  </si>
  <si>
    <t>SPINACH ARTICHOKE DIP, KG</t>
  </si>
  <si>
    <t>FM0960</t>
  </si>
  <si>
    <t>BREADED SOLE FISH, PC</t>
  </si>
  <si>
    <t>FM0962</t>
  </si>
  <si>
    <t>SEAFOOD CHOWDER, RECIPE</t>
  </si>
  <si>
    <t>FM0963</t>
  </si>
  <si>
    <t>RISO AL SALTO RICE, PC</t>
  </si>
  <si>
    <t>FM0964</t>
  </si>
  <si>
    <t>SPICED VINEGAR, KG</t>
  </si>
  <si>
    <t>FM0965</t>
  </si>
  <si>
    <t>NEW CAESAR DRESSING, KG</t>
  </si>
  <si>
    <t>FM0966</t>
  </si>
  <si>
    <t>OIL MARINADE, KG</t>
  </si>
  <si>
    <t>FM0967</t>
  </si>
  <si>
    <t>PIZZA SAUCE, KG</t>
  </si>
  <si>
    <t>FM0968</t>
  </si>
  <si>
    <t>ROASTED CAPSICUM BELL PEPPERS, KG</t>
  </si>
  <si>
    <t>FM0969</t>
  </si>
  <si>
    <t>NEW PESTO SAUCE, KG</t>
  </si>
  <si>
    <t>FM0970</t>
  </si>
  <si>
    <t>LASAGNA SHEET, KG</t>
  </si>
  <si>
    <t>FM0971</t>
  </si>
  <si>
    <t>SPINACH RAVIOLI, PC</t>
  </si>
  <si>
    <t>FM0972</t>
  </si>
  <si>
    <t>RAGU SAUCE, KG</t>
  </si>
  <si>
    <t>FM0973</t>
  </si>
  <si>
    <t>BOILED MUSSELS, KG</t>
  </si>
  <si>
    <t>FM0974</t>
  </si>
  <si>
    <t>POMODORO SAUCE, KG</t>
  </si>
  <si>
    <t>FM0975</t>
  </si>
  <si>
    <t>CHICKEN STOCK, KG</t>
  </si>
  <si>
    <t>FM0976</t>
  </si>
  <si>
    <t>COFFEE CREAM FILLING, KG</t>
  </si>
  <si>
    <t>FM0977</t>
  </si>
  <si>
    <t>WINE SOLUTION , KG</t>
  </si>
  <si>
    <t>FM0978</t>
  </si>
  <si>
    <t>CONE WAFER, PC</t>
  </si>
  <si>
    <t>FM0979</t>
  </si>
  <si>
    <t>FM0980</t>
  </si>
  <si>
    <t>RED BROWN TWIST, PC</t>
  </si>
  <si>
    <t>FM0981</t>
  </si>
  <si>
    <t>RED BROWN WALL, PC</t>
  </si>
  <si>
    <t>FM0982</t>
  </si>
  <si>
    <t>GELATIN ACCESSORY, KG</t>
  </si>
  <si>
    <t>FM0983</t>
  </si>
  <si>
    <t>NEW LEMON CRUST</t>
  </si>
  <si>
    <t>FM0984</t>
  </si>
  <si>
    <t>NEW LEMON TOPPINGS</t>
  </si>
  <si>
    <t>FM0985</t>
  </si>
  <si>
    <t>NEW LEMON BARS (2)</t>
  </si>
  <si>
    <t>FM0986</t>
  </si>
  <si>
    <t>FM0987</t>
  </si>
  <si>
    <t>CHEESE, ASIAGO, 240 GMS</t>
  </si>
  <si>
    <t>FM0988</t>
  </si>
  <si>
    <t>CHILI LABUYO, 100GMS</t>
  </si>
  <si>
    <t>FM0989</t>
  </si>
  <si>
    <t>ITALIAN BURGER PATTY, PC</t>
  </si>
  <si>
    <t>FM0990</t>
  </si>
  <si>
    <t>ITALIAN BURGER PATTY, RECIPE</t>
  </si>
  <si>
    <t>FM0991</t>
  </si>
  <si>
    <t>MASHED POTATO, KG</t>
  </si>
  <si>
    <t>FM0992</t>
  </si>
  <si>
    <t>GNOCCHI</t>
  </si>
  <si>
    <t>FM0993</t>
  </si>
  <si>
    <t>GNOCCHI, 200 GMS</t>
  </si>
  <si>
    <t>FM0994</t>
  </si>
  <si>
    <t>GNOCCHI CHEESE SAUCE, KG</t>
  </si>
  <si>
    <t>FM0995</t>
  </si>
  <si>
    <t>GNOCCHI CHEESE SAUCE, 100 GMS</t>
  </si>
  <si>
    <t>FM0996</t>
  </si>
  <si>
    <t>CLAM STOCK, 1.5KG</t>
  </si>
  <si>
    <t>FM0997</t>
  </si>
  <si>
    <t>BABY SQUID, CLEANED</t>
  </si>
  <si>
    <t>FM0998</t>
  </si>
  <si>
    <t>SQUID INK SAUCE, RECIPE</t>
  </si>
  <si>
    <t>FM0999</t>
  </si>
  <si>
    <t>SQUID INK SAUCE, 1 SVG</t>
  </si>
  <si>
    <t>FM1000</t>
  </si>
  <si>
    <t>MELON, 150G/PK</t>
  </si>
  <si>
    <t>FM1001</t>
  </si>
  <si>
    <t>WATERMELON, 150G/PK</t>
  </si>
  <si>
    <t>FM1002</t>
  </si>
  <si>
    <t xml:space="preserve">DARK GRAPES, FROZEN, 120G/PK, </t>
  </si>
  <si>
    <t>FM1003</t>
  </si>
  <si>
    <t>NEW WHITE CHIFFON, 6 DIA</t>
  </si>
  <si>
    <t>FM1004</t>
  </si>
  <si>
    <t>MATCHA GELATO, KG</t>
  </si>
  <si>
    <t>FM1005</t>
  </si>
  <si>
    <t>MATCHA GELATO TRAY, 2.5 KG</t>
  </si>
  <si>
    <t>FM1006</t>
  </si>
  <si>
    <t>SALTED CARAMEL LAYERING, KG</t>
  </si>
  <si>
    <t>FM1007</t>
  </si>
  <si>
    <t>SALTED CARAMEL CHURNING, KG</t>
  </si>
  <si>
    <t>FM1008</t>
  </si>
  <si>
    <t>FM1009</t>
  </si>
  <si>
    <t>SALTED CARAMEL GELATO TRAY, 2.5KG</t>
  </si>
  <si>
    <t>FM1010</t>
  </si>
  <si>
    <t>MATCHA GELATO, SCOOP</t>
  </si>
  <si>
    <t>FM1011</t>
  </si>
  <si>
    <t>SALTED CARAMEL GELATO, SCOOP</t>
  </si>
  <si>
    <t>FM1012</t>
  </si>
  <si>
    <t>MATCHA GELATO TRAY, 2.5KG + 5%</t>
  </si>
  <si>
    <t>FM1013</t>
  </si>
  <si>
    <t>SALTED CARAMEL GELATO TRAY, 2.5KG + 5%</t>
  </si>
  <si>
    <t>FM1014</t>
  </si>
  <si>
    <t>MATCHA GELATO CAKE</t>
  </si>
  <si>
    <t>FM1015</t>
  </si>
  <si>
    <t>BREADED CHICKEN FILLET, 1PC/PK</t>
  </si>
  <si>
    <t>FM1016</t>
  </si>
  <si>
    <t>PARMESAN CRUSTED SOLE, 1PC/PK</t>
  </si>
  <si>
    <t>FM1017</t>
  </si>
  <si>
    <t>PAR-BAKED CHICKEN, 1PC/PK</t>
  </si>
  <si>
    <t>FM1018</t>
  </si>
  <si>
    <t>BREADED SOLE FISH, PK</t>
  </si>
  <si>
    <t>FM1019</t>
  </si>
  <si>
    <t>MATCHA WAFER, RECIPE</t>
  </si>
  <si>
    <t>FM1020</t>
  </si>
  <si>
    <t>MATCHA WAFER, PC</t>
  </si>
  <si>
    <t>FM1021</t>
  </si>
  <si>
    <t>WHITE COATING, RECIPE</t>
  </si>
  <si>
    <t>FM1022</t>
  </si>
  <si>
    <t>WHITE COATING, KG</t>
  </si>
  <si>
    <t>FM1023</t>
  </si>
  <si>
    <t>COATED MATCHA WAFER, PC</t>
  </si>
  <si>
    <t>FM1024</t>
  </si>
  <si>
    <t>MATCHA CAKE GELATO. RECIPE</t>
  </si>
  <si>
    <t>FM1025</t>
  </si>
  <si>
    <t>MATCHA CAKE GELATO, KG</t>
  </si>
  <si>
    <t>FM1026</t>
  </si>
  <si>
    <t>MATCHA CAKE, IN-PROCESS</t>
  </si>
  <si>
    <t>FM1027</t>
  </si>
  <si>
    <t>MATCHA GANACHE, RECIPE</t>
  </si>
  <si>
    <t>FM1028</t>
  </si>
  <si>
    <t>MATCHA GANACHE, KG</t>
  </si>
  <si>
    <t>FM1029</t>
  </si>
  <si>
    <t>MATCHA CAKE JACONDE, RECIPE</t>
  </si>
  <si>
    <t>FM1030</t>
  </si>
  <si>
    <t>MATCHA CAKE JACONDE. PC</t>
  </si>
  <si>
    <t>FM1031</t>
  </si>
  <si>
    <t>MATCHA BORDER, RECIPE</t>
  </si>
  <si>
    <t>FM1032</t>
  </si>
  <si>
    <t>MATCHA BORDER, KG</t>
  </si>
  <si>
    <t>FM1033</t>
  </si>
  <si>
    <t>GREEN CHOCOLATE BAR, RECIPE</t>
  </si>
  <si>
    <t>FM1034</t>
  </si>
  <si>
    <t>GREEN CHOCOLATE BAR, KG</t>
  </si>
  <si>
    <t>FM1035</t>
  </si>
  <si>
    <t>GREEN CHOCOLATE BAR, PC</t>
  </si>
  <si>
    <t>FM1038</t>
  </si>
  <si>
    <t>CRUST, NEW GELATO CAKE, PC</t>
  </si>
  <si>
    <t>FM1041</t>
  </si>
  <si>
    <t>NEW ROUGE INPROCESS, PC</t>
  </si>
  <si>
    <t>FM1042</t>
  </si>
  <si>
    <t>NEW ROUGE, WHOLE</t>
  </si>
  <si>
    <t>FM1043</t>
  </si>
  <si>
    <t>NEW MANGO PIE, PC</t>
  </si>
  <si>
    <t>FM1044</t>
  </si>
  <si>
    <t>NEW MANGO PASSION IN-PROCESS, PC</t>
  </si>
  <si>
    <t>FM1045</t>
  </si>
  <si>
    <t>NEW MANGO PASSION, WHOLE</t>
  </si>
  <si>
    <t>FM1046</t>
  </si>
  <si>
    <t>NEW WHITE CHIFFON, RECIPE</t>
  </si>
  <si>
    <t>FM1047</t>
  </si>
  <si>
    <t>CRUST, GELATO CAKE, RECIPE</t>
  </si>
  <si>
    <t>FM1048</t>
  </si>
  <si>
    <t>MANGO PIE CRUST, RECIPE</t>
  </si>
  <si>
    <t>FM1050</t>
  </si>
  <si>
    <t>NEW CRUST, CHOCO COOKIE, PC</t>
  </si>
  <si>
    <t>FM1051</t>
  </si>
  <si>
    <t>NEW CRUST, CHOCO COOKIE, RECIPE</t>
  </si>
  <si>
    <t>FM1052</t>
  </si>
  <si>
    <t>NEW BRAZO CRUST, PC</t>
  </si>
  <si>
    <t>FM1053</t>
  </si>
  <si>
    <t>NEW BRAZO CRUST, RECIPE</t>
  </si>
  <si>
    <t>FM1054</t>
  </si>
  <si>
    <t>NEW BUTTER CHOCOLATE MOIST CAKE, PC</t>
  </si>
  <si>
    <t>FM1055</t>
  </si>
  <si>
    <t>NEW BUTTER CHOCOLATE MOIST CAKE, RECIPE</t>
  </si>
  <si>
    <t>FM1056</t>
  </si>
  <si>
    <t>NEW BRAZO MERINGUE ROUND, PC</t>
  </si>
  <si>
    <t>FM1057</t>
  </si>
  <si>
    <t>NEW BRAZO MERINGUE ROUND, RECIPE</t>
  </si>
  <si>
    <t>FM1058</t>
  </si>
  <si>
    <t>NEW SANS RIVAL WAFER ROUND, PC</t>
  </si>
  <si>
    <t>FM1059</t>
  </si>
  <si>
    <t>NEW SANS RIVAL WAFER ROUND, RECIPE</t>
  </si>
  <si>
    <t>FM1060</t>
  </si>
  <si>
    <t>NEW CONE WAFER, PC</t>
  </si>
  <si>
    <t>FM1061</t>
  </si>
  <si>
    <t>NEW CONE WAFER, RECIPE</t>
  </si>
  <si>
    <t>FM1062</t>
  </si>
  <si>
    <t>NEW WAFER WITH COATING, PC</t>
  </si>
  <si>
    <t>FM1063</t>
  </si>
  <si>
    <t>NEW WAFER COATING, KG</t>
  </si>
  <si>
    <t>FM1064</t>
  </si>
  <si>
    <t>NEW WAFER COATING, RECIPE</t>
  </si>
  <si>
    <t>FM1065</t>
  </si>
  <si>
    <t>7 DIAMETER BANANA BLAST IN-PROCESS, PC</t>
  </si>
  <si>
    <t>FM1066</t>
  </si>
  <si>
    <t>7 DIAMETER BANANA BLAST, WHOLE</t>
  </si>
  <si>
    <t>FM1067</t>
  </si>
  <si>
    <t>7 DIAMETER FROZEN BRAZO IN-PROCESS, PC</t>
  </si>
  <si>
    <t>FM1068</t>
  </si>
  <si>
    <t>7 DIAMETER FROZEN BRAZO, WHOLE</t>
  </si>
  <si>
    <t>FM1069</t>
  </si>
  <si>
    <t>7 DIAMETER MANGO SANS RIVAL IN-PROCESS, PC</t>
  </si>
  <si>
    <t>FM1070</t>
  </si>
  <si>
    <t>7 DIAMETER MANGO SANS RIVAL, WHOLE</t>
  </si>
  <si>
    <t>FM1071</t>
  </si>
  <si>
    <t>7 DIAMETER CHOCOLATE SYMPHONY IN-PROCESS, PC</t>
  </si>
  <si>
    <t>FM1072</t>
  </si>
  <si>
    <t>7 DIAMETER CHOCOLATE SYMPHONY, WHOLE</t>
  </si>
  <si>
    <t>FM1073</t>
  </si>
  <si>
    <t>COFFEE CRUNCH, RECIPE</t>
  </si>
  <si>
    <t>FM1074</t>
  </si>
  <si>
    <t>COFFEE CRUNCH, KG</t>
  </si>
  <si>
    <t>FM1075</t>
  </si>
  <si>
    <t>CHOCOLATE CUSTARD, RECIPE</t>
  </si>
  <si>
    <t>FM1076</t>
  </si>
  <si>
    <t>CHOCOLATE CUSTARD, KG</t>
  </si>
  <si>
    <t>FM1077</t>
  </si>
  <si>
    <t>CHOCOLATE MOUSSE, RECIPE</t>
  </si>
  <si>
    <t>FM1078</t>
  </si>
  <si>
    <t>CHOCOLATE MOUSSE, KG</t>
  </si>
  <si>
    <t>FM1079</t>
  </si>
  <si>
    <t>COFFEE FILLING, RECIPE</t>
  </si>
  <si>
    <t>FM1080</t>
  </si>
  <si>
    <t>COFFEE FILLING, KG</t>
  </si>
  <si>
    <t>FM1081</t>
  </si>
  <si>
    <t>CHOCOLATE DRIZZLE, RECIPE</t>
  </si>
  <si>
    <t>FM1082</t>
  </si>
  <si>
    <t>CHOCOLATE DRIZZLE, KG</t>
  </si>
  <si>
    <t>FM1083</t>
  </si>
  <si>
    <t>COFFEE HONEYCOMB IN-PROCESS, PC</t>
  </si>
  <si>
    <t>FM1084</t>
  </si>
  <si>
    <t>COFFEE CRUNCH, PK</t>
  </si>
  <si>
    <t>FM1085</t>
  </si>
  <si>
    <t>COFFEE HONEYCOMB CAKE, PC</t>
  </si>
  <si>
    <t>FM1086</t>
  </si>
  <si>
    <t>NEW CHOCO CHIFFON 8 DIA, PC</t>
  </si>
  <si>
    <t>FM1087</t>
  </si>
  <si>
    <t>NEW CHOCO CHIFFON 6 DIA, PC</t>
  </si>
  <si>
    <t>FM1088</t>
  </si>
  <si>
    <t>NEW CHOCO CHIFFON, RE</t>
  </si>
  <si>
    <t>FM1089</t>
  </si>
  <si>
    <t>DUMMY COFFEE HONEYCOMB CAKE</t>
  </si>
  <si>
    <t>FM1090</t>
  </si>
  <si>
    <t>NEW PIZZA DOUGH, RECIPE</t>
  </si>
  <si>
    <t>FM1091</t>
  </si>
  <si>
    <t xml:space="preserve">PULLED PORK, RECIPE </t>
  </si>
  <si>
    <t>FM1092</t>
  </si>
  <si>
    <t>PULLED PORK, KG</t>
  </si>
  <si>
    <t>FM1093</t>
  </si>
  <si>
    <t>PULLED PORK, PACK</t>
  </si>
  <si>
    <t>FM1094</t>
  </si>
  <si>
    <t>HONEY SRIRACHA SAUCE, RECIPTE</t>
  </si>
  <si>
    <t>FM1095</t>
  </si>
  <si>
    <t>HONEY SRIRACHA, KG</t>
  </si>
  <si>
    <t>FM1096</t>
  </si>
  <si>
    <t>HONEY SRIRACHA SAUCE, 240 GRAMS/PACK</t>
  </si>
  <si>
    <t>FM1097</t>
  </si>
  <si>
    <t xml:space="preserve">BLUE CHEESE SAUCE, RECIPE </t>
  </si>
  <si>
    <t>FM1098</t>
  </si>
  <si>
    <t>BLUE CHEESE SAUCE, KG</t>
  </si>
  <si>
    <t>FM1099</t>
  </si>
  <si>
    <t>BLUE CHEESE SAUCE, 100 GRAMS/ PACK</t>
  </si>
  <si>
    <t>FM1100</t>
  </si>
  <si>
    <t>NEW PIZZA DOUGH, PC</t>
  </si>
  <si>
    <t>FM1101</t>
  </si>
  <si>
    <t>NEW PIZZA DOUGH, TRAY</t>
  </si>
  <si>
    <t>FM1102</t>
  </si>
  <si>
    <t>IMPROVED WHITE CHIFFON, RECIPE</t>
  </si>
  <si>
    <t>FM1103</t>
  </si>
  <si>
    <t>CANCELLED</t>
  </si>
  <si>
    <t>FM1104</t>
  </si>
  <si>
    <t>IMPROVED WHITE CHIFFON, '8 DIA</t>
  </si>
  <si>
    <t>FM1105</t>
  </si>
  <si>
    <t>IMPROVED WHITE CHIFFON, '6 DIA</t>
  </si>
  <si>
    <t>FM1106</t>
  </si>
  <si>
    <t>IMPROVED WHITE CHIFFON, SHEET</t>
  </si>
  <si>
    <t>FM1107</t>
  </si>
  <si>
    <t>CHOCOLATE CHIPS, 75GMS/PK</t>
  </si>
  <si>
    <t>FM1108</t>
  </si>
  <si>
    <t>STRAWBERRY FILLING, RECIPE</t>
  </si>
  <si>
    <t>FM1109</t>
  </si>
  <si>
    <t>STRAWBERRY FILLING, KG</t>
  </si>
  <si>
    <t>FM1110</t>
  </si>
  <si>
    <t>STRAWBERRY ICING, RECIPE</t>
  </si>
  <si>
    <t>FM1111</t>
  </si>
  <si>
    <t>STRAWBERRY, CUT</t>
  </si>
  <si>
    <t>FM1112</t>
  </si>
  <si>
    <t>STRAWBERRY ICING, KG</t>
  </si>
  <si>
    <t>FM1113</t>
  </si>
  <si>
    <t>STRAWBERRY CREAM, RECIPE</t>
  </si>
  <si>
    <t>FM1114</t>
  </si>
  <si>
    <t>STRAWBERRY CREAM, KG</t>
  </si>
  <si>
    <t>FM1115</t>
  </si>
  <si>
    <t>STRAWBERRY CAKE IN-PROCESS</t>
  </si>
  <si>
    <t>FM1116</t>
  </si>
  <si>
    <t>STRAWBERRY CAKE, PIECE</t>
  </si>
  <si>
    <t>FM1117</t>
  </si>
  <si>
    <t>STRAWBERRY, CHOPPED</t>
  </si>
  <si>
    <t>FM1118</t>
  </si>
  <si>
    <t>CASHEW BRITTLE, 10 GRAMS PER PACK</t>
  </si>
  <si>
    <t>FM1119</t>
  </si>
  <si>
    <t>MIDNIGHT DREAM CAKE, IN-PROCESS,MINI</t>
  </si>
  <si>
    <t>FM1120</t>
  </si>
  <si>
    <t>MIDNIGHT DREAM CAKE, WHOLE, MINI</t>
  </si>
  <si>
    <t>FM1121</t>
  </si>
  <si>
    <t>SPINACH ARTICHOKE DIP, 480 GRAMS/PACK</t>
  </si>
  <si>
    <t>FM1122</t>
  </si>
  <si>
    <t>ROCKY ROAD GELATO, RECIPE</t>
  </si>
  <si>
    <t>FM1123</t>
  </si>
  <si>
    <t>ROCKY ROAD GELATO, KG</t>
  </si>
  <si>
    <t>FM1124</t>
  </si>
  <si>
    <t>ROCKY ROAD GELATO, 2.5KGS/TRAY</t>
  </si>
  <si>
    <t>FM1125</t>
  </si>
  <si>
    <t>DOUBLE DUTCH GELATO, RECIPE</t>
  </si>
  <si>
    <t>FM1126</t>
  </si>
  <si>
    <t>DOUBLE DUTCH GELATO, KG</t>
  </si>
  <si>
    <t>FM1127</t>
  </si>
  <si>
    <t>DOUBLE DUTCH GELATO, 2.5KGS./TRAY</t>
  </si>
  <si>
    <t>FM1128</t>
  </si>
  <si>
    <t>COFFEE MUDSLIDE GELATO, RECIPE</t>
  </si>
  <si>
    <t>FM1129</t>
  </si>
  <si>
    <t>COFFEE MUDSLIDE GELATO, KG</t>
  </si>
  <si>
    <t>FM1130</t>
  </si>
  <si>
    <t>CHOCO CASHEW BRITTLE, RECIPE</t>
  </si>
  <si>
    <t>FM1131</t>
  </si>
  <si>
    <t>CHOCO CASHEW BRITTLE, KG</t>
  </si>
  <si>
    <t>FM1132</t>
  </si>
  <si>
    <t>COFFEE MUDSLIDE GELATO, 2.5KGS./TRAY</t>
  </si>
  <si>
    <t>FM1133</t>
  </si>
  <si>
    <t>PECAN, BAKED, CHOPPED (CHUNKY)</t>
  </si>
  <si>
    <t>FM1134</t>
  </si>
  <si>
    <t>WALNUTS, BAKED, CHOPPED (CHUNKY)</t>
  </si>
  <si>
    <t>FM1135</t>
  </si>
  <si>
    <t>CASHEW, BAKED (CRISP)</t>
  </si>
  <si>
    <t>FM1136</t>
  </si>
  <si>
    <t>ROCKY ROAD GELATO, 2.5KGS/TRAY+5%</t>
  </si>
  <si>
    <t>FM1137</t>
  </si>
  <si>
    <t>DOUBLE DUTCH GELATO, 2.5KGS./TRAY+5%</t>
  </si>
  <si>
    <t>FM1138</t>
  </si>
  <si>
    <t>COFFEE MUDSLIDE GELATO, 2.5KGS./TRAY+5%</t>
  </si>
  <si>
    <t>FM1139</t>
  </si>
  <si>
    <t>NEW CHEDDAR CHEESE 40 GRMS/PACK</t>
  </si>
  <si>
    <t>FM1140</t>
  </si>
  <si>
    <t>PISTACHIO GELATO, PINT</t>
  </si>
  <si>
    <t>PT</t>
  </si>
  <si>
    <t>FM1141</t>
  </si>
  <si>
    <t xml:space="preserve">COOKIES AND CREAM GELATO PINT </t>
  </si>
  <si>
    <t>FM1142</t>
  </si>
  <si>
    <t>CHOCOLATE THERAPY GELATO, PINT</t>
  </si>
  <si>
    <t>FM1143</t>
  </si>
  <si>
    <t>MANGO CREAM PIE GELATO, PINT</t>
  </si>
  <si>
    <t>FM1144</t>
  </si>
  <si>
    <t>FERRERO GELATO, PINT</t>
  </si>
  <si>
    <t>FM1145</t>
  </si>
  <si>
    <t>CIOCCOLATO GELATO, PINT</t>
  </si>
  <si>
    <t>FM1146</t>
  </si>
  <si>
    <t>TURTLE PIE GELATO, PINT</t>
  </si>
  <si>
    <t>FM1147</t>
  </si>
  <si>
    <t>COOKIE DOUGH GELATO, PINT</t>
  </si>
  <si>
    <t>FM1148</t>
  </si>
  <si>
    <t>SANS RIVAL GELATO, PINT</t>
  </si>
  <si>
    <t>FM1149</t>
  </si>
  <si>
    <t>MANGO BERRY MEDLEY GELATO, PINT</t>
  </si>
  <si>
    <t>FM1150</t>
  </si>
  <si>
    <t>BLUEBERRY CHEESECAKE GELATO, PINT</t>
  </si>
  <si>
    <t>FM1151</t>
  </si>
  <si>
    <t>STRAWBERRY SUPREME GELATO, PINT</t>
  </si>
  <si>
    <t>FM1152</t>
  </si>
  <si>
    <t>MINT WITH CHOCOLATE GELATO, PINT</t>
  </si>
  <si>
    <t>FM1153</t>
  </si>
  <si>
    <t>TOFFEE ALMOND ROCA GELATO, PINT</t>
  </si>
  <si>
    <t>FM1154</t>
  </si>
  <si>
    <t>CHOCOLATE SANS RIVAL GELATO, PINT</t>
  </si>
  <si>
    <t>FM1155</t>
  </si>
  <si>
    <t>ROCKY ROAD GELATO, PINT</t>
  </si>
  <si>
    <t>FM1156</t>
  </si>
  <si>
    <t>DOUBLE DUTCH GELATO, PINT</t>
  </si>
  <si>
    <t>FM1157</t>
  </si>
  <si>
    <t>COFFEE MUDSLIDE GELATO, PINT</t>
  </si>
  <si>
    <t>FM1158</t>
  </si>
  <si>
    <t xml:space="preserve">NEW MEATBALL, RECIPE </t>
  </si>
  <si>
    <t>FM1159</t>
  </si>
  <si>
    <t>BREADED MEATBALL, PIECE</t>
  </si>
  <si>
    <t>FM1160</t>
  </si>
  <si>
    <t>BREADED MEATBALL, PACK</t>
  </si>
  <si>
    <t>FM1161</t>
  </si>
  <si>
    <t>AMICI BREADCRUMBS, RECIPE</t>
  </si>
  <si>
    <t>FM1162</t>
  </si>
  <si>
    <t>AMICI BREADCRUMBS, KG</t>
  </si>
  <si>
    <t>FM1163</t>
  </si>
  <si>
    <t>AMICI BREADCRUMBS, 300 GMS/PACK</t>
  </si>
  <si>
    <t>FM1164</t>
  </si>
  <si>
    <t>ALFREDO SAUCE, RECIPE</t>
  </si>
  <si>
    <t>FM1165</t>
  </si>
  <si>
    <t>ALFREDO SAUCE, KG</t>
  </si>
  <si>
    <t>FM1166</t>
  </si>
  <si>
    <t>ALFREDO SAUCE, 480 GM/PK</t>
  </si>
  <si>
    <t>FM1167</t>
  </si>
  <si>
    <t>GRATED CHEDDAR CHEESE, KG</t>
  </si>
  <si>
    <t>FM1168</t>
  </si>
  <si>
    <t>GRATED UBE-PREMIXB154, KG</t>
  </si>
  <si>
    <t>FM1169</t>
  </si>
  <si>
    <t>UBE JAM, KG</t>
  </si>
  <si>
    <t>FM1170</t>
  </si>
  <si>
    <t>UBE CHIFFON  BASE CAKE, PC</t>
  </si>
  <si>
    <t>FM1171</t>
  </si>
  <si>
    <t>UBE FILLING 2.04KG/PK</t>
  </si>
  <si>
    <t>FM1172</t>
  </si>
  <si>
    <t>UBE ICING, KG</t>
  </si>
  <si>
    <t>FM1173</t>
  </si>
  <si>
    <t>TOASTED UBE CHIFFON  CRUMBS, KG</t>
  </si>
  <si>
    <t>FM1174</t>
  </si>
  <si>
    <t>WHIPPED CREAM DÉCOR, KG</t>
  </si>
  <si>
    <t>FM1175</t>
  </si>
  <si>
    <t>UBE CAKE, PC</t>
  </si>
  <si>
    <t>FM1176</t>
  </si>
  <si>
    <t>DUMMY, UBE CAKE</t>
  </si>
  <si>
    <t>FM1177</t>
  </si>
  <si>
    <t>FROZEN BOILED UBE, KG</t>
  </si>
  <si>
    <t>FM1178</t>
  </si>
  <si>
    <t>CREAM MIXTURE-UBE FILLING, KG</t>
  </si>
  <si>
    <t>FM1179</t>
  </si>
  <si>
    <t>UBE FILLING, KG</t>
  </si>
  <si>
    <t>FM1180</t>
  </si>
  <si>
    <t>UBE CAKE-IN PROCESS, PC</t>
  </si>
  <si>
    <t>FM1181</t>
  </si>
  <si>
    <t>UBE JAM/2KG. PACK</t>
  </si>
  <si>
    <t>FM1182</t>
  </si>
  <si>
    <t>NEW ASSORTED BARS (REVEL &amp; BROWN), BX</t>
  </si>
  <si>
    <t>FM1183</t>
  </si>
  <si>
    <t>GANACHE, 120G/PK</t>
  </si>
  <si>
    <t>FM1184</t>
  </si>
  <si>
    <t>YELLOW GLAZE, 120G/PK</t>
  </si>
  <si>
    <t>FM1185</t>
  </si>
  <si>
    <t>RED GLAZE, 120G/PK</t>
  </si>
  <si>
    <t>FM1186</t>
  </si>
  <si>
    <t>GREEN GLAZE, 120G/PK</t>
  </si>
  <si>
    <t>FM1187</t>
  </si>
  <si>
    <t>CREAMY TOMATO SOUP, 140 GRAMS/PACK</t>
  </si>
  <si>
    <t>FM1188</t>
  </si>
  <si>
    <t>SMOKED SALMON, 120 GRAMS/PACK</t>
  </si>
  <si>
    <t>FM1189</t>
  </si>
  <si>
    <t>SMOKED SALMON, KG</t>
  </si>
  <si>
    <t>FM1190</t>
  </si>
  <si>
    <t>SMOKED SALMON DIP, 480 GRAMS/PACK</t>
  </si>
  <si>
    <t>FM1191</t>
  </si>
  <si>
    <t>SMOKED SALMON DIP, KG</t>
  </si>
  <si>
    <t>FM1192</t>
  </si>
  <si>
    <t>SALAMI SLICES, 16 SLICES/PACK</t>
  </si>
  <si>
    <t>FM1193</t>
  </si>
  <si>
    <t>VANILLA GELATO / BATCH ,7.19kgs.</t>
  </si>
  <si>
    <t>FM1194</t>
  </si>
  <si>
    <t>VANILLA GELATO, PER KG</t>
  </si>
  <si>
    <t>FM1195</t>
  </si>
  <si>
    <t>VANILLA GELATO, 2.5 KG/TRAY</t>
  </si>
  <si>
    <t>FM1196</t>
  </si>
  <si>
    <t>DULCE DE LECHE SYRUP / BATCH, 1.86KGS.</t>
  </si>
  <si>
    <t>FM1197</t>
  </si>
  <si>
    <t>DULCE DE LECHE SYRUP, PER KG</t>
  </si>
  <si>
    <t>FM1198</t>
  </si>
  <si>
    <t>DULCE DE LECHE GELATO / BATCH,7.5KGS.</t>
  </si>
  <si>
    <t>FM1199</t>
  </si>
  <si>
    <t>DULCE DE LECHE GELATO, PER KG</t>
  </si>
  <si>
    <t>FM1200</t>
  </si>
  <si>
    <t>DULCE DE LECHE GELATO, 2.5 KG/TRAY</t>
  </si>
  <si>
    <t>FM1201</t>
  </si>
  <si>
    <t>UBE SAUCE / BATCH, .525KGS</t>
  </si>
  <si>
    <t>FM1202</t>
  </si>
  <si>
    <t>UBE SAUCE, PER KG</t>
  </si>
  <si>
    <t>FM1203</t>
  </si>
  <si>
    <t>UBE GELATO / BATCH, 7.4KGS.</t>
  </si>
  <si>
    <t>FM1204</t>
  </si>
  <si>
    <t>UBE GELATO, PER KG</t>
  </si>
  <si>
    <t>FM1205</t>
  </si>
  <si>
    <t>UBE GELATO, 2.5 KG/TRAY</t>
  </si>
  <si>
    <t>FM1206</t>
  </si>
  <si>
    <t>UBE HALAYA SLT, 2KG/PACK</t>
  </si>
  <si>
    <t>FM1207</t>
  </si>
  <si>
    <t>UBE HALAYA SLT, PER KG</t>
  </si>
  <si>
    <t>FM1208</t>
  </si>
  <si>
    <t>UBE CHIFFON BASE CAKE 6-INCH</t>
  </si>
  <si>
    <t>FM1209</t>
  </si>
  <si>
    <t>MINI UBE CAKE IN-PROCESS</t>
  </si>
  <si>
    <t>FM1210</t>
  </si>
  <si>
    <t>MINI UBE CAKE</t>
  </si>
  <si>
    <t>FM1211</t>
  </si>
  <si>
    <t>MINI UBE DUMMY CAKE</t>
  </si>
  <si>
    <t>FM1212</t>
  </si>
  <si>
    <t>STRAWBERRY, VACUUM PACKED, PK</t>
  </si>
  <si>
    <t>FM1213</t>
  </si>
  <si>
    <t>YELLOW GLAZE, 100G/PK</t>
  </si>
  <si>
    <t>FM1214</t>
  </si>
  <si>
    <t>RED GLAZE, 100G/PK</t>
  </si>
  <si>
    <t>FM1215</t>
  </si>
  <si>
    <t>GREEN GLAZE, 100G/PK</t>
  </si>
  <si>
    <t>FM1216</t>
  </si>
  <si>
    <t>SHORTBREAD CRUST 9-INCH, PC</t>
  </si>
  <si>
    <t>FM1217</t>
  </si>
  <si>
    <t>MANGO CREAM FILLING,  KG</t>
  </si>
  <si>
    <t>FM1218</t>
  </si>
  <si>
    <t>PROCESSED MANGO, KG</t>
  </si>
  <si>
    <t>FM1219</t>
  </si>
  <si>
    <t>MANGO GLAZE, KG</t>
  </si>
  <si>
    <t>FM1220</t>
  </si>
  <si>
    <t>MANGO CREAM PIE IN-PROCESS, PC</t>
  </si>
  <si>
    <t>FM1221</t>
  </si>
  <si>
    <t>MANGO CREAM PIE, PC</t>
  </si>
  <si>
    <t>FM1222</t>
  </si>
  <si>
    <t>YELLOW WHIPPED CREAM, KG</t>
  </si>
  <si>
    <t>FM1223</t>
  </si>
  <si>
    <t>MANGO MAGNIFICO CAKE, WHOLE, NEW DESIGN</t>
  </si>
  <si>
    <t>FM1224</t>
  </si>
  <si>
    <t xml:space="preserve">CHICKEN STOCK NEW, PER KG </t>
  </si>
  <si>
    <t>FM1225</t>
  </si>
  <si>
    <t>CARAMELIZED ONION, KG</t>
  </si>
  <si>
    <t>FM1226</t>
  </si>
  <si>
    <t>CHICKEN STOCK NEW, 1.5 KG/PACK</t>
  </si>
  <si>
    <t>FM1227</t>
  </si>
  <si>
    <t>PARMESAN CRISP, 12 PCS/PACK</t>
  </si>
  <si>
    <t>FM1228</t>
  </si>
  <si>
    <t>TRUFFLE MUSHROOM DIP, 480 GRAMS/PACK</t>
  </si>
  <si>
    <t>FM1229</t>
  </si>
  <si>
    <t>SALPICAO MARINADE, 400 GRAMS/PACK</t>
  </si>
  <si>
    <t>FM1230</t>
  </si>
  <si>
    <t>SANS RIVAL COOKIES, PER PC</t>
  </si>
  <si>
    <t>FM1231</t>
  </si>
  <si>
    <t>WHITE CHOCO GELATO COATING, KG</t>
  </si>
  <si>
    <t>FM1232</t>
  </si>
  <si>
    <t>DARK CHOCO GELATO COATING, KG</t>
  </si>
  <si>
    <t>FM1233</t>
  </si>
  <si>
    <t>PISTACHIO GELATO SW FILLING, PC</t>
  </si>
  <si>
    <t>FM1234</t>
  </si>
  <si>
    <t>FERRERO GELATO SW FILLING, PC</t>
  </si>
  <si>
    <t>FM1235</t>
  </si>
  <si>
    <t>UBE GELATO SW FILLING, PC</t>
  </si>
  <si>
    <t>FM1236</t>
  </si>
  <si>
    <t>MCP GELATO SW FILLING, PC</t>
  </si>
  <si>
    <t>FM1237</t>
  </si>
  <si>
    <t>PISTACHIO GELATO SANDWICH, PC</t>
  </si>
  <si>
    <t>FM1238</t>
  </si>
  <si>
    <t>PISTACHIO GELATO SANDWICH, 18 PCS/BOX</t>
  </si>
  <si>
    <t>FM1239</t>
  </si>
  <si>
    <t>FERRERO GELATO SANDWICH, PC</t>
  </si>
  <si>
    <t>FM1240</t>
  </si>
  <si>
    <t>FERRERO GELATO SANDWICH, 18 PCS/BX</t>
  </si>
  <si>
    <t>FM1241</t>
  </si>
  <si>
    <t>UBE GELATO SANDWICH, PC</t>
  </si>
  <si>
    <t>FM1242</t>
  </si>
  <si>
    <t>UBE GELATO SANDWICH, 18 PCS/BOX</t>
  </si>
  <si>
    <t>FM1243</t>
  </si>
  <si>
    <t>MANGO CREAM PIE GELATO SANDWICH, PC</t>
  </si>
  <si>
    <t>FM1244</t>
  </si>
  <si>
    <t>MANGO CREAM PIE GELATO SANDWICH, 18 PCS/BOX</t>
  </si>
  <si>
    <t>FM1245</t>
  </si>
  <si>
    <t>CREAM CHEESE SAUCE, 245 G/PK</t>
  </si>
  <si>
    <t>FM1246</t>
  </si>
  <si>
    <t>BUTTER CRUNCH, 165 G/PK</t>
  </si>
  <si>
    <t>FM1247</t>
  </si>
  <si>
    <t>CINNAMON CRUMBLE, 165 G/PK</t>
  </si>
  <si>
    <t>FM1248</t>
  </si>
  <si>
    <t>PEANUT BUTTER, 125 G/PK</t>
  </si>
  <si>
    <t>FM1249</t>
  </si>
  <si>
    <t>CARAMEL SAUCE-DP,  165G/PK</t>
  </si>
  <si>
    <t>FM1250</t>
  </si>
  <si>
    <t>CHOCOLATE COINS, 120 G/PK</t>
  </si>
  <si>
    <t>FM1251</t>
  </si>
  <si>
    <t>INSTANT COFFEE, 20 G/PK</t>
  </si>
  <si>
    <t>FM1252</t>
  </si>
  <si>
    <t>COCOA POWDER-MR, 105 G/PK</t>
  </si>
  <si>
    <t>FM1253</t>
  </si>
  <si>
    <t>GRATED WHITE CHOCOLATE COMPOUND, 80 G/PK</t>
  </si>
  <si>
    <t>FM1254</t>
  </si>
  <si>
    <t>VANILLA GELATO-DP, 850 G/TB</t>
  </si>
  <si>
    <t>FM1255</t>
  </si>
  <si>
    <t>CHOCOLATE GANACHE FROSTING, KG</t>
  </si>
  <si>
    <t>FM1256</t>
  </si>
  <si>
    <t>MANGO MAGNIFICO ICING, KG</t>
  </si>
  <si>
    <t>FM1257</t>
  </si>
  <si>
    <t>TURTLE PIE GELATO, TUB</t>
  </si>
  <si>
    <t>TB</t>
  </si>
  <si>
    <t>FM1258</t>
  </si>
  <si>
    <t>MANGO CREAM PIE GELATO, TUB</t>
  </si>
  <si>
    <t>FM1259</t>
  </si>
  <si>
    <t>STRAWBERRY SUPREME GELATO, TUB</t>
  </si>
  <si>
    <t>FM1260</t>
  </si>
  <si>
    <t>COFFEE MUDSLIDE GELATO, TUB</t>
  </si>
  <si>
    <t>FM1261</t>
  </si>
  <si>
    <t xml:space="preserve">BLUEBERRY CHEESECAKE GELATO, TUB </t>
  </si>
  <si>
    <t>FM1262</t>
  </si>
  <si>
    <t>PISTACHIO GELATO, TUB</t>
  </si>
  <si>
    <t>FM1263</t>
  </si>
  <si>
    <t>CHOCOLATE THERAPHY GELATO, TUB</t>
  </si>
  <si>
    <t>FM1264</t>
  </si>
  <si>
    <t>OREO COOKIES N' CREAM GELATO,  TUB</t>
  </si>
  <si>
    <t>FM1265</t>
  </si>
  <si>
    <t>FERRERO GELATO, TUB</t>
  </si>
  <si>
    <t>FM1266</t>
  </si>
  <si>
    <t>VANILLA PASTRY CREAM, KG</t>
  </si>
  <si>
    <t>FM1267</t>
  </si>
  <si>
    <t>FRENCH BUTTERCREAM, KG</t>
  </si>
  <si>
    <t>FM1268</t>
  </si>
  <si>
    <t>EGG CUSTARD, KG</t>
  </si>
  <si>
    <t>FM1269</t>
  </si>
  <si>
    <t>CRÈME BRULEE FILLING, KG</t>
  </si>
  <si>
    <t>FM1270</t>
  </si>
  <si>
    <t>GROUND SHORTBREAD CRUST, KG</t>
  </si>
  <si>
    <t>FM1271</t>
  </si>
  <si>
    <t>CRÈME BRULEE ICING, KG</t>
  </si>
  <si>
    <t>FM1272</t>
  </si>
  <si>
    <t>CRÈME BRULEE CAKE, WIP, PC</t>
  </si>
  <si>
    <t>FM1273</t>
  </si>
  <si>
    <t>CRÈME BRULEE CAKE, PC</t>
  </si>
  <si>
    <t>FM1274</t>
  </si>
  <si>
    <t>CHOCOLATE BASE CAKE-TK, PC</t>
  </si>
  <si>
    <t>FM1275</t>
  </si>
  <si>
    <t>CARAMEL FILLING-TK, KG</t>
  </si>
  <si>
    <t>FM1276</t>
  </si>
  <si>
    <t>CHOCOLATE ICING-TK, KG</t>
  </si>
  <si>
    <t>FM1277</t>
  </si>
  <si>
    <t>CHOCOLATE CAKE, TAPA KING, WIP, PC</t>
  </si>
  <si>
    <t>FM1278</t>
  </si>
  <si>
    <t>CHOCOLATE CAKE, TAPA KING, PC</t>
  </si>
  <si>
    <t>FM1279</t>
  </si>
  <si>
    <t>WHITE CHIFFON, 6-INCH, PC</t>
  </si>
  <si>
    <t>FM1280</t>
  </si>
  <si>
    <t>MINI MANGO MAGNIFICO, IN-PROCESS, PC</t>
  </si>
  <si>
    <t>FM1281</t>
  </si>
  <si>
    <t>MINI MANGO MAGNIFICO, PC</t>
  </si>
  <si>
    <t>FM1282</t>
  </si>
  <si>
    <t>STRAWBERRY CHIFFON, PC</t>
  </si>
  <si>
    <t>FM1283</t>
  </si>
  <si>
    <t>TOASTED STRAWBERRY CHIFFON CRUMBS, KG</t>
  </si>
  <si>
    <t>FM1284</t>
  </si>
  <si>
    <t>STRAWBERRY, WHOLE, VACUUM-PACKED, 10 PC/PK</t>
  </si>
  <si>
    <t>FM1285</t>
  </si>
  <si>
    <t>PISTACHIO PASTE IN-HOUSE, KG</t>
  </si>
  <si>
    <t>FM1286</t>
  </si>
  <si>
    <t>CHICKEN MARINADE, KG</t>
  </si>
  <si>
    <t>FM1287</t>
  </si>
  <si>
    <t>MARINATED CHICKEN, NEW, 9 PC/TR</t>
  </si>
  <si>
    <t>FM1288</t>
  </si>
  <si>
    <t>NEW CHICKEN SAUCE, 195 G/PK</t>
  </si>
  <si>
    <t>FM1289</t>
  </si>
  <si>
    <t>CHICKEN SAUCE, BY-PRODUCT, KG</t>
  </si>
  <si>
    <t>FM1290</t>
  </si>
  <si>
    <t>BAKED CHICKEN, 1 PC/PK</t>
  </si>
  <si>
    <t>FM1291</t>
  </si>
  <si>
    <t>BAKED CHICKEN WITH SAUCE, PK</t>
  </si>
  <si>
    <t>FM1292</t>
  </si>
  <si>
    <t>CHEF'S CAESAR DRE+D1527SSING, 450 G/PK</t>
  </si>
  <si>
    <t>FM1293</t>
  </si>
  <si>
    <t>SALTED CHOCOLATE SMORES CAKE, NEW, PC</t>
  </si>
  <si>
    <t>FM1294</t>
  </si>
  <si>
    <t>BOILED ICING, D1458NEW, KG</t>
  </si>
  <si>
    <t>FM1295</t>
  </si>
  <si>
    <t>BUFFALO SAUCE</t>
  </si>
  <si>
    <t>FM1296</t>
  </si>
  <si>
    <t>PEANUT BUTTER GELATO, KG</t>
  </si>
  <si>
    <t>FM1297</t>
  </si>
  <si>
    <t>PEANUT BUTTER GELATO, 2.5 KG/TR</t>
  </si>
  <si>
    <t>FM1298</t>
  </si>
  <si>
    <t>PEANUT BUTTER GELATO, 4.5 KG/TR</t>
  </si>
  <si>
    <t>FM1299</t>
  </si>
  <si>
    <t>PEANUT BUTTER GELATO, PINT 400GM</t>
  </si>
  <si>
    <t>FM1300</t>
  </si>
  <si>
    <t>PEANUT BUTTER GELATO, TUB 800GM</t>
  </si>
  <si>
    <t>FM1301</t>
  </si>
  <si>
    <t>UBE GELATO, 4.5 KG/TR</t>
  </si>
  <si>
    <t>FM1302</t>
  </si>
  <si>
    <t>UBE HALAYA SLT-AP, KG</t>
  </si>
  <si>
    <t>FM1303</t>
  </si>
  <si>
    <t>WHITE CHOCOLATE STRACIATELLA, KG</t>
  </si>
  <si>
    <t>FM1304</t>
  </si>
  <si>
    <t>UBE GELATO, PINT 400GM</t>
  </si>
  <si>
    <t>FM1305</t>
  </si>
  <si>
    <t>UBE GELATO, TUB 800GM</t>
  </si>
  <si>
    <t>FM1306</t>
  </si>
  <si>
    <t>MANGO BERRY MEDLEY, TUB 800GM</t>
  </si>
  <si>
    <t>FM1307</t>
  </si>
  <si>
    <t xml:space="preserve"> MIXED BERRIES, 54gms/pack </t>
  </si>
  <si>
    <t>FM1308</t>
  </si>
  <si>
    <t xml:space="preserve"> MANGO CHOPPED, FROZEN 100gms/pack </t>
  </si>
  <si>
    <t>FM1309</t>
  </si>
  <si>
    <t>STRAWBERRY PASTE, 100gms/pack</t>
  </si>
  <si>
    <t>FM1310</t>
  </si>
  <si>
    <t>UBE HALAYA, 100gms/pack</t>
  </si>
  <si>
    <t>FM1311</t>
  </si>
  <si>
    <t>PINK WRITING CHOCOLATE, KG</t>
  </si>
  <si>
    <t>FM1312</t>
  </si>
  <si>
    <t>PINK WRITING CHOCOLATE, 100 G/PK</t>
  </si>
  <si>
    <t>FM1313</t>
  </si>
  <si>
    <t>MOTHER'S DAY LABEL, PINK, PC</t>
  </si>
  <si>
    <t>FM1314</t>
  </si>
  <si>
    <t>MOTHER'S DAY LABEL, PINK, 48 PC/BX</t>
  </si>
  <si>
    <t>FM1315</t>
  </si>
  <si>
    <t>UE CHIFFON CRUMB (100gms/pack)</t>
  </si>
  <si>
    <t>FM1316</t>
  </si>
  <si>
    <t>BUTTER GRATIN (250gms per pack)</t>
  </si>
  <si>
    <t>FM1317</t>
  </si>
  <si>
    <t>RICOTTA CREAM (400gms per pack)</t>
  </si>
  <si>
    <t>FM1318</t>
  </si>
  <si>
    <t>BASTING SAUCE (500gms per pack)</t>
  </si>
  <si>
    <t>FM1319</t>
  </si>
  <si>
    <t>BABY BACK RIBS MARINADE</t>
  </si>
  <si>
    <t>FM1320</t>
  </si>
  <si>
    <t>LEMON CHICKEN MARINADE</t>
  </si>
  <si>
    <t>FM1321</t>
  </si>
  <si>
    <t>LEMON SAUCE (200gms per pack)</t>
  </si>
  <si>
    <t>FM1322</t>
  </si>
  <si>
    <t>PAR COOKED BABY BACK RIBS</t>
  </si>
  <si>
    <t>FM1323</t>
  </si>
  <si>
    <t>PAR BAKED CHICKEN</t>
  </si>
  <si>
    <t>FM1324</t>
  </si>
  <si>
    <t>ARUGULA, 150gms/pack</t>
  </si>
  <si>
    <t>FM1325</t>
  </si>
  <si>
    <t>FRENCH BEANS, 150gms per pack</t>
  </si>
  <si>
    <t>FM1326</t>
  </si>
  <si>
    <t>BELL PEPPER, GREEN, 500gms per pack</t>
  </si>
  <si>
    <t>FM1327</t>
  </si>
  <si>
    <t>BELL PEPPER, RED, 500gms per pack</t>
  </si>
  <si>
    <t>FM1328</t>
  </si>
  <si>
    <t>MCPG MARINATED MANGO, KG</t>
  </si>
  <si>
    <t>FM1329</t>
  </si>
  <si>
    <t>BROWN WHIPPED CREAM DÉCOR, KG</t>
  </si>
  <si>
    <t>FM1330</t>
  </si>
  <si>
    <t>CHOCOLATE JAVA CAKE ICING, KG</t>
  </si>
  <si>
    <t>FM1331</t>
  </si>
  <si>
    <t>COFFEE SYRUP, KG</t>
  </si>
  <si>
    <t>FM1332</t>
  </si>
  <si>
    <t>CHOCOLATE JAVA CAKE, WIP, PC</t>
  </si>
  <si>
    <t>FM1333</t>
  </si>
  <si>
    <t>COFFEE CRUNCH,  70 G/PK, PK</t>
  </si>
  <si>
    <t>FM1334</t>
  </si>
  <si>
    <t>CHOCOLATE JAVA CAKE, PC</t>
  </si>
  <si>
    <t>FM1335</t>
  </si>
  <si>
    <t>CHOCOLATE JAVA CAKE, DUMMY</t>
  </si>
  <si>
    <t>FM1336</t>
  </si>
  <si>
    <t>MINT WITH CHOCOLATE GELATO, TUB</t>
  </si>
  <si>
    <t>FM1337</t>
  </si>
  <si>
    <t>COOKIE DOUGH GELATO, TUB</t>
  </si>
  <si>
    <t>FM1338</t>
  </si>
  <si>
    <t>BAKED ALL PURPOSE FLOUR, KG</t>
  </si>
  <si>
    <t>FM1339</t>
  </si>
  <si>
    <t>COOKIE DOUGH - BAKED FLOUR, KG</t>
  </si>
  <si>
    <t>FM1340</t>
  </si>
  <si>
    <t>COOKIE DOUGH SAUCE, KG</t>
  </si>
  <si>
    <t>FM1341</t>
  </si>
  <si>
    <t>FM1342</t>
  </si>
  <si>
    <t>FM1343</t>
  </si>
  <si>
    <t>MEATBALLS, /GM</t>
  </si>
  <si>
    <t>GM</t>
  </si>
  <si>
    <t>FM1344</t>
  </si>
  <si>
    <t>MEATBALLS, 15GMS/PC</t>
  </si>
  <si>
    <t>FM1345</t>
  </si>
  <si>
    <t>MEATBALLS, 16PCS/PK</t>
  </si>
  <si>
    <t>FM1346</t>
  </si>
  <si>
    <t>CILANTRO PUREE 200GMS/PK</t>
  </si>
  <si>
    <t>FM1347</t>
  </si>
  <si>
    <t>CHOCOLATE FUDGE SYRUP, 50 G/PK</t>
  </si>
  <si>
    <t>FM1348</t>
  </si>
  <si>
    <t>OREO COOKIES, 2 PK/BX (239.2 G)</t>
  </si>
  <si>
    <t>FM1349</t>
  </si>
  <si>
    <t>TOATED UBE CHIFFON CRUMBS, 10 G/PK</t>
  </si>
  <si>
    <t>FM1350</t>
  </si>
  <si>
    <t>UBE HALAYA, 680 G/PK</t>
  </si>
  <si>
    <t>FM1351</t>
  </si>
  <si>
    <t>STRAWBERRY PASTE, 50 G/PK</t>
  </si>
  <si>
    <t>FM1352</t>
  </si>
  <si>
    <t>FROZEN STRAWBERRY, 2.5 KG/PK</t>
  </si>
  <si>
    <t>FM1353</t>
  </si>
  <si>
    <t>CARAMEL SAUCE TPG, 120 G/PK</t>
  </si>
  <si>
    <t>FM1354</t>
  </si>
  <si>
    <t>COUVERTURE CHOCOLATE COINS, 60 G/PK</t>
  </si>
  <si>
    <t>FM1355</t>
  </si>
  <si>
    <t xml:space="preserve">UBE HALAYA, 50 G/PK </t>
  </si>
  <si>
    <t>FM1356</t>
  </si>
  <si>
    <t>SHORTBREAD CRUST ver.1, 9-INCH, PC</t>
  </si>
  <si>
    <t>FM1357</t>
  </si>
  <si>
    <t>MANGO CREAM PIE ver.1, WIP, PC</t>
  </si>
  <si>
    <t>FM1358</t>
  </si>
  <si>
    <t>MANGO CREAM PIE ver.1, PC</t>
  </si>
  <si>
    <t>FM1359</t>
  </si>
  <si>
    <t>ALMOND NUTS WHOLE, BAKED, KG</t>
  </si>
  <si>
    <t>FM1360</t>
  </si>
  <si>
    <t>WHIPPED CREAM DECOR - BFC, AMICI, KG</t>
  </si>
  <si>
    <t>FM1361</t>
  </si>
  <si>
    <t>WHIPPED CREAM ICING - BFC, AMICI, KG</t>
  </si>
  <si>
    <t>FM1362</t>
  </si>
  <si>
    <t>COFFEE FILLING - BFC, AMICI, KG</t>
  </si>
  <si>
    <t>FM1363</t>
  </si>
  <si>
    <t>MARASCHINO CHERRIES, SLICED, KG</t>
  </si>
  <si>
    <t>FM1364</t>
  </si>
  <si>
    <t>CHERRY JAM, AMICI, KG</t>
  </si>
  <si>
    <t>FM1365</t>
  </si>
  <si>
    <t>CHOCOLATE MOUSSE - BFC, AMICI, KG</t>
  </si>
  <si>
    <t>FM1366</t>
  </si>
  <si>
    <t>WHIPPED CHOCOLATE MOUSSE, AMICI, KG</t>
  </si>
  <si>
    <t>FM1367</t>
  </si>
  <si>
    <t>RHUM SYRUP, AMICI, KG</t>
  </si>
  <si>
    <t>FM1368</t>
  </si>
  <si>
    <t>BLACK FOREST CAKE, WIP, AMICI, PC</t>
  </si>
  <si>
    <t>FM1369</t>
  </si>
  <si>
    <t>SALTED CARAMEL SAUCE, AMICI, KG</t>
  </si>
  <si>
    <t>FM1370</t>
  </si>
  <si>
    <t>CHEESECAKE BATTER, AMICI, KG</t>
  </si>
  <si>
    <t>FM1371</t>
  </si>
  <si>
    <t>CHEESECAKE CRUST, AMICI, KG</t>
  </si>
  <si>
    <t>FM1372</t>
  </si>
  <si>
    <t>SALTED CARAMEL CHEESECAKE, WIP, AMICI, PC</t>
  </si>
  <si>
    <t>FM1373</t>
  </si>
  <si>
    <t>BELGIAN CHOCOLATE with HAZELNUT, AMICI GELATO, KG</t>
  </si>
  <si>
    <t>FM1374</t>
  </si>
  <si>
    <t>BELGIAN CHOCOLATE with HAZELNUT, AMICI GELATO, 2.5 KG/TR</t>
  </si>
  <si>
    <t>FM1375</t>
  </si>
  <si>
    <t>COFFEE ALMOND FUDGE, AMICI GELATO, KG</t>
  </si>
  <si>
    <t>FM1376</t>
  </si>
  <si>
    <t>COFFEE ALMOND FUDGE, AMICI GELATO, 2.5 KG/TR</t>
  </si>
  <si>
    <t>FM1377</t>
  </si>
  <si>
    <t>BUTTER PECAN, AMICI GELATO, KG</t>
  </si>
  <si>
    <t>FM1378</t>
  </si>
  <si>
    <t>BUTTER PECAN, AMICI GELATO, 2.5 KG/TR</t>
  </si>
  <si>
    <t>FM1379</t>
  </si>
  <si>
    <t>STRAWBERRY, AMICI GELATO, KG</t>
  </si>
  <si>
    <t>FM1380</t>
  </si>
  <si>
    <t>STRAWBERRY, AMICI GELATO, 2.5 KG/TR</t>
  </si>
  <si>
    <t>FM1381</t>
  </si>
  <si>
    <t>PISTACHIO with CHOCOLATE, AMICI GELATO, KG</t>
  </si>
  <si>
    <t>FM1382</t>
  </si>
  <si>
    <t>PISTACHIO with CHOCOLATE, AMICI GELATO, 2.5 KG/TR</t>
  </si>
  <si>
    <t>FM1383</t>
  </si>
  <si>
    <t>VANILLA, AMICI GELATO, KG</t>
  </si>
  <si>
    <t>FM1384</t>
  </si>
  <si>
    <t>VANILLA, AMICI GELATO, 2.5 KG/TR</t>
  </si>
  <si>
    <t>FM1385</t>
  </si>
  <si>
    <t>PISTACHIO NUTS, BAKED, 60 G/PK, PK</t>
  </si>
  <si>
    <t>FM1386</t>
  </si>
  <si>
    <t>VANILLA CUSTARD, 150 G/PK, PK</t>
  </si>
  <si>
    <t>FM1387</t>
  </si>
  <si>
    <t>PROFITEROLE, AMICI, 12 PC/BX</t>
  </si>
  <si>
    <t>FM1388</t>
  </si>
  <si>
    <t>CHOCOLATE CUSTARD, AMICI, 140 G/PK, PK</t>
  </si>
  <si>
    <t>FM1389</t>
  </si>
  <si>
    <t>BROWNIES, AMICI, 1 PC/PK, PK</t>
  </si>
  <si>
    <t>FM1390</t>
  </si>
  <si>
    <t>BLACK FOREST CAKE, AMICI, PC</t>
  </si>
  <si>
    <t>FM1391</t>
  </si>
  <si>
    <t>POURABLE SALTED CARAMEL SAUCE, AMICI, 240 G/PK</t>
  </si>
  <si>
    <t>FM1392</t>
  </si>
  <si>
    <t>SALTED CARAMEL CHEESECAKE, AMICI, PC</t>
  </si>
  <si>
    <t>FM1393</t>
  </si>
  <si>
    <t>LEMON PESTO, KG</t>
  </si>
  <si>
    <t>FM1394</t>
  </si>
  <si>
    <t>LEMON PESTO AIOLI 200G/PCK</t>
  </si>
  <si>
    <t>FM1395</t>
  </si>
  <si>
    <t>SAUSAGE AND CHEESE FILLING, KG</t>
  </si>
  <si>
    <t>FM1396</t>
  </si>
  <si>
    <t>SAUSAGE TORTELINI</t>
  </si>
  <si>
    <t>FM1397</t>
  </si>
  <si>
    <t>SAUSAGE TORTELINI, 8PCS/PK</t>
  </si>
  <si>
    <t>FM1398</t>
  </si>
  <si>
    <t>MANGO VINAIGRETTE</t>
  </si>
  <si>
    <t>FM1399</t>
  </si>
  <si>
    <t>MANGO VINAIGRETTE, 200G/PK</t>
  </si>
  <si>
    <t>FM1400</t>
  </si>
  <si>
    <t>CAJUN AIOLI, KG</t>
  </si>
  <si>
    <t>FM1401</t>
  </si>
  <si>
    <t>CAJUN AIOLI, 150G/PK</t>
  </si>
  <si>
    <t>FM1402</t>
  </si>
  <si>
    <t>SALSA VERDE AIOLI, KG</t>
  </si>
  <si>
    <t>FM1403</t>
  </si>
  <si>
    <t>SALSA VERDE AIOLI 150G/PK</t>
  </si>
  <si>
    <t>FM1404</t>
  </si>
  <si>
    <t>CRUMBS, JAPANESE BREAD 150G/PK</t>
  </si>
  <si>
    <t>FM1405</t>
  </si>
  <si>
    <t>PAPPARDELLE SHEET, KG</t>
  </si>
  <si>
    <t>FM1406</t>
  </si>
  <si>
    <t>PAPPARDELLE SHEET, PC</t>
  </si>
  <si>
    <t>FM1407</t>
  </si>
  <si>
    <t>PAPPARDELLE SHEET, 20PCS/PK</t>
  </si>
  <si>
    <t>FM1408</t>
  </si>
  <si>
    <t>GELATO WHITE BASE, KG</t>
  </si>
  <si>
    <t>FM1409</t>
  </si>
  <si>
    <t>GELATO CHOCO BASE, KG</t>
  </si>
  <si>
    <t>FM1410</t>
  </si>
  <si>
    <t>PEACH PUREE, KG</t>
  </si>
  <si>
    <t>FM1411</t>
  </si>
  <si>
    <t>PEACH JUICE, BY-PRODUCT, KG</t>
  </si>
  <si>
    <t>FM1412</t>
  </si>
  <si>
    <t>PEACH SYRUP, KG</t>
  </si>
  <si>
    <t>FM1413</t>
  </si>
  <si>
    <t>PEACH MANGO CARAMEL GELATO, KG</t>
  </si>
  <si>
    <t>FM1414</t>
  </si>
  <si>
    <t>PEACH MANGO CARAMEL GELATO, 4.5 KG/TR</t>
  </si>
  <si>
    <t>FM1415</t>
  </si>
  <si>
    <t>PEACH MANGO CARAMEL GELATO, 2.5 KG/TR</t>
  </si>
  <si>
    <t>FM1416</t>
  </si>
  <si>
    <t>MALTED CHOCOLATE GELATO, KG</t>
  </si>
  <si>
    <t>FM1417</t>
  </si>
  <si>
    <t>MALTED CHOCOLATE GELATO, 2.5 KG/TR</t>
  </si>
  <si>
    <t>FM1418</t>
  </si>
  <si>
    <t>MALTED CHOCOLATE GELATO, 4.5 KG/TR</t>
  </si>
  <si>
    <t>FM1419</t>
  </si>
  <si>
    <t>PEACH MANGO CARAMEL GELATO, EP-WI, KG</t>
  </si>
  <si>
    <t>FM1420</t>
  </si>
  <si>
    <t>PEACH MANGO CARAMEL GELATO, EP-WI, 2.5 KG/TR</t>
  </si>
  <si>
    <t>FM1421</t>
  </si>
  <si>
    <t>PEACH MANGO CARAMEL GELATO, EP-WI, 4.5 KG/TR</t>
  </si>
  <si>
    <t>FM1422</t>
  </si>
  <si>
    <t>MALTESERS GELATO, EP-WI, KG</t>
  </si>
  <si>
    <t>FM1423</t>
  </si>
  <si>
    <t>MALTESERS GELATO, EP-WI, 2.5 KG/TR</t>
  </si>
  <si>
    <t>FM1424</t>
  </si>
  <si>
    <t>FM1699</t>
  </si>
  <si>
    <t>STRAWBERRY, AMICI GELATO, 5 KG/TR</t>
  </si>
  <si>
    <t>PR0001</t>
  </si>
  <si>
    <t>BOLOGNESE P022-A</t>
  </si>
  <si>
    <t>PR0002</t>
  </si>
  <si>
    <t>FGBOLOGNESE P022-B</t>
  </si>
  <si>
    <t>PR0003</t>
  </si>
  <si>
    <t>BECHAMEL P002</t>
  </si>
  <si>
    <t>PR0004</t>
  </si>
  <si>
    <t>BECHAMEL P002-A</t>
  </si>
  <si>
    <t>PR0005</t>
  </si>
  <si>
    <t>CHICKEN BROTH P019</t>
  </si>
  <si>
    <t>PR0006</t>
  </si>
  <si>
    <t>MONTANARA P007</t>
  </si>
  <si>
    <t>PR0007</t>
  </si>
  <si>
    <t>MONTANARA P007-A</t>
  </si>
  <si>
    <t>PR0008</t>
  </si>
  <si>
    <t>CHEESE SAUCE P016</t>
  </si>
  <si>
    <t>PR0009</t>
  </si>
  <si>
    <t>POMODORO SAUCE P010</t>
  </si>
  <si>
    <t>PR0010</t>
  </si>
  <si>
    <t>VONGOLE SAUCE P014</t>
  </si>
  <si>
    <t>PR0011</t>
  </si>
  <si>
    <t>SMOKED SALMONE P017</t>
  </si>
  <si>
    <t>PR0012</t>
  </si>
  <si>
    <t>CANNELLONI FILLING P020</t>
  </si>
  <si>
    <t>PR0013</t>
  </si>
  <si>
    <t>PIZZA SAUCE PZ01</t>
  </si>
  <si>
    <t>PR0014</t>
  </si>
  <si>
    <t>MINESTRONE P015</t>
  </si>
  <si>
    <t>PR0015</t>
  </si>
  <si>
    <t>MARINATED OIL PZ002</t>
  </si>
  <si>
    <t>PR0016</t>
  </si>
  <si>
    <t>BALSAMIC HS002</t>
  </si>
  <si>
    <t>PR0017</t>
  </si>
  <si>
    <t>CAESAR HS003</t>
  </si>
  <si>
    <t>PR0018</t>
  </si>
  <si>
    <t>ROAST CHICKEN F005</t>
  </si>
  <si>
    <t>PR0019</t>
  </si>
  <si>
    <t>BAKED ITALIAN SAUSAGE F009</t>
  </si>
  <si>
    <t>PR0020</t>
  </si>
  <si>
    <t>MEAT BALLS F013</t>
  </si>
  <si>
    <t>PR0021</t>
  </si>
  <si>
    <t>MOZARELLA STICKS F0019</t>
  </si>
  <si>
    <t>PR0022</t>
  </si>
  <si>
    <t>SQUASH SOUP HS005-A</t>
  </si>
  <si>
    <t>PR0023</t>
  </si>
  <si>
    <t>SQUASH SOUP HS005 -B</t>
  </si>
  <si>
    <t>PR0024</t>
  </si>
  <si>
    <t>HS007-DUSTING PREMIX, 1/31.5G</t>
  </si>
  <si>
    <t>PR0025</t>
  </si>
  <si>
    <t>HS007-CUCUMBER SALAD PREMIX, 1/62G</t>
  </si>
  <si>
    <t>PR0026</t>
  </si>
  <si>
    <t>PORK STEAK HS009</t>
  </si>
  <si>
    <t>PR0027</t>
  </si>
  <si>
    <t>SPICED VINEGAR HS010</t>
  </si>
  <si>
    <t>PR0028</t>
  </si>
  <si>
    <t>CARAMELIZED WALNUT P025</t>
  </si>
  <si>
    <t>PR0029</t>
  </si>
  <si>
    <t>MUSHROOM SOUP HS012-A</t>
  </si>
  <si>
    <t>PR0030</t>
  </si>
  <si>
    <t>MUSHROOM SOUP, HS012-B</t>
  </si>
  <si>
    <t>PR0031</t>
  </si>
  <si>
    <t>MUSHROOM SOUP HS012-C</t>
  </si>
  <si>
    <t>PR0032</t>
  </si>
  <si>
    <t>F007 ITALIAN SAUSAGE</t>
  </si>
  <si>
    <t>PR0033</t>
  </si>
  <si>
    <t>P026 STEWED TOMATOES, KG</t>
  </si>
  <si>
    <t>PR0034</t>
  </si>
  <si>
    <t>P027 CHILLI OIL, KG</t>
  </si>
  <si>
    <t>PR0035</t>
  </si>
  <si>
    <t>HS013A  MANGO SAUCE, KG</t>
  </si>
  <si>
    <t>PR0036</t>
  </si>
  <si>
    <t>HS013B  MANGO SAUCE, KG</t>
  </si>
  <si>
    <t>PR0037</t>
  </si>
  <si>
    <t>HS014 HONEY VINAIGRETTE, KG</t>
  </si>
  <si>
    <t>PR0038</t>
  </si>
  <si>
    <t>HS015- A RICOTTA MIXTURE, KG</t>
  </si>
  <si>
    <t>PR0039</t>
  </si>
  <si>
    <t>HS015- B RICOTTA MIXTURE, KG</t>
  </si>
  <si>
    <t>PR0040</t>
  </si>
  <si>
    <t>HS016 PORK TONNE, KG</t>
  </si>
  <si>
    <t>PR0041</t>
  </si>
  <si>
    <t>HS017- A ARANCINI, KG</t>
  </si>
  <si>
    <t>PR0042</t>
  </si>
  <si>
    <t>HS017- B ARANCINI, KG</t>
  </si>
  <si>
    <t>PR0043</t>
  </si>
  <si>
    <t>HS018-A RAGU, KG</t>
  </si>
  <si>
    <t>PR0044</t>
  </si>
  <si>
    <t>HS018-B RAGU, KG</t>
  </si>
  <si>
    <t>PR0045</t>
  </si>
  <si>
    <t>HS018-C RAGU, KG</t>
  </si>
  <si>
    <t>PR0046</t>
  </si>
  <si>
    <t>HS019- A ASPARAGUS , KG</t>
  </si>
  <si>
    <t>PR0047</t>
  </si>
  <si>
    <t>HS019- B ASPARAGUS SAUCE, KG</t>
  </si>
  <si>
    <t>PR0048</t>
  </si>
  <si>
    <t>HS020- A STUFFED CHICKEN, KG</t>
  </si>
  <si>
    <t>PR0049</t>
  </si>
  <si>
    <t>HS020- B STUFFED CHICKEN, KG</t>
  </si>
  <si>
    <t>PR0050</t>
  </si>
  <si>
    <t>HS020- C STUFFED CHICKEN, KG</t>
  </si>
  <si>
    <t>PR0051</t>
  </si>
  <si>
    <t>P028-A SPINACH RAVIOLI, KG</t>
  </si>
  <si>
    <t>PR0052</t>
  </si>
  <si>
    <t>P028 -B SPINACH RAVIOLI, KG</t>
  </si>
  <si>
    <t>PR0053</t>
  </si>
  <si>
    <t>HS021 RISOTTO, KG</t>
  </si>
  <si>
    <t>PR0054</t>
  </si>
  <si>
    <t>HS022 PORK BELLY, KG</t>
  </si>
  <si>
    <t>PR0055</t>
  </si>
  <si>
    <t>HS023- A BREADED SOLE, KG</t>
  </si>
  <si>
    <t>PR0056</t>
  </si>
  <si>
    <t>HS023- B BREADED SOLE, KG</t>
  </si>
  <si>
    <t>PR0057</t>
  </si>
  <si>
    <t>P029 PESTO SAUCE, KG</t>
  </si>
  <si>
    <t>PR0058</t>
  </si>
  <si>
    <t>P030-A BECHAMEL SAUCE, KG</t>
  </si>
  <si>
    <t>PR0059</t>
  </si>
  <si>
    <t>P030-B BECHAMEL SAUCE, KG</t>
  </si>
  <si>
    <t>PR0060</t>
  </si>
  <si>
    <t>HS024 SEAFOOD CHOWDER, KG</t>
  </si>
  <si>
    <t>PR0061</t>
  </si>
  <si>
    <t>PN003 PASTA DOUGH, KG</t>
  </si>
  <si>
    <t>PR0062</t>
  </si>
  <si>
    <t>HS025 ARROZ ALA CUBANA, KG</t>
  </si>
  <si>
    <t>PR0063</t>
  </si>
  <si>
    <t>HS028 CARROT GINGER, KG</t>
  </si>
  <si>
    <t>PR0064</t>
  </si>
  <si>
    <t>HS029 LEMON DRESSING, KG</t>
  </si>
  <si>
    <t>PR0065</t>
  </si>
  <si>
    <t>PZ06 MUSHROOM CREAM #1, KG</t>
  </si>
  <si>
    <t>PR0066</t>
  </si>
  <si>
    <t>PZ07 MUSHROOM CREAM #2, KG</t>
  </si>
  <si>
    <t>PR0067</t>
  </si>
  <si>
    <t>PZ08 PREMIX WALNUT PASTE, KG</t>
  </si>
  <si>
    <t>PR0068</t>
  </si>
  <si>
    <t>PZ09 PREMIX ARTICKOKE CREAM, KG</t>
  </si>
  <si>
    <t>PR0069</t>
  </si>
  <si>
    <t>PZ10 PREMIX BELL PEPPER MIX, KG</t>
  </si>
  <si>
    <t>PR0070</t>
  </si>
  <si>
    <t>PZ11 PREMIX, SPINACH CREAM, KG</t>
  </si>
  <si>
    <t>PR0071</t>
  </si>
  <si>
    <t>P031 PREMIX, MORTADELLA TORTELLINI, KG</t>
  </si>
  <si>
    <t>PR0072</t>
  </si>
  <si>
    <t>PZ13 PREMIX, KG</t>
  </si>
  <si>
    <t>PR0073</t>
  </si>
  <si>
    <t>PZ14 PREMIX, KG</t>
  </si>
  <si>
    <t>PR0074</t>
  </si>
  <si>
    <t>PZ15 PREMIX, KG</t>
  </si>
  <si>
    <t>PR0075</t>
  </si>
  <si>
    <t>HS030 PREMIX 1, KG</t>
  </si>
  <si>
    <t>PR0076</t>
  </si>
  <si>
    <t>HS031 PREMIX 2, KG</t>
  </si>
  <si>
    <t>PR0077</t>
  </si>
  <si>
    <t>HS032 PREMIX 3, KG</t>
  </si>
  <si>
    <t>PR0078</t>
  </si>
  <si>
    <t>HS033 PREMIX 4, KG</t>
  </si>
  <si>
    <t>PR0079</t>
  </si>
  <si>
    <t>ADOBO PREMIX F0022, KG</t>
  </si>
  <si>
    <t>PR0080</t>
  </si>
  <si>
    <t>CUCUMBER SALAD PREMIX F0023, KG</t>
  </si>
  <si>
    <t>PR0081</t>
  </si>
  <si>
    <t>HOTCAKE PREMIX F0021, KG</t>
  </si>
  <si>
    <t>PR0082</t>
  </si>
  <si>
    <t>HS034 PREMIX, KG</t>
  </si>
  <si>
    <t>PR0083</t>
  </si>
  <si>
    <t>HS035 PREMIX, KG</t>
  </si>
  <si>
    <t>PR0084</t>
  </si>
  <si>
    <t>HS036 PREMIX, KG</t>
  </si>
  <si>
    <t>PR0085</t>
  </si>
  <si>
    <t>HS037 PREMIX, KG</t>
  </si>
  <si>
    <t>PR0086</t>
  </si>
  <si>
    <t>HS038 PREMIX, KG</t>
  </si>
  <si>
    <t>PR0087</t>
  </si>
  <si>
    <t>HS039 PREMIX, KG</t>
  </si>
  <si>
    <t>PR0088</t>
  </si>
  <si>
    <t>HS040 PREMIX, KG</t>
  </si>
  <si>
    <t>PR0089</t>
  </si>
  <si>
    <t>CHOCOLATE G006</t>
  </si>
  <si>
    <t>PR0090</t>
  </si>
  <si>
    <t>GELATO MIX G009</t>
  </si>
  <si>
    <t>PR0091</t>
  </si>
  <si>
    <t>GELATO-G007</t>
  </si>
  <si>
    <t>PR0092</t>
  </si>
  <si>
    <t>GELATO-G008</t>
  </si>
  <si>
    <t>PR0093</t>
  </si>
  <si>
    <t>PREMIX G015</t>
  </si>
  <si>
    <t>PR0094</t>
  </si>
  <si>
    <t>PREMIX G014</t>
  </si>
  <si>
    <t>PR0095</t>
  </si>
  <si>
    <t>PREMIX G016</t>
  </si>
  <si>
    <t>PR0096</t>
  </si>
  <si>
    <t>PREMIX G017</t>
  </si>
  <si>
    <t>PR0097</t>
  </si>
  <si>
    <t>PREMIX G010</t>
  </si>
  <si>
    <t>PR0098</t>
  </si>
  <si>
    <t>PREMIX G013</t>
  </si>
  <si>
    <t>PR0099</t>
  </si>
  <si>
    <t>GELATO G021</t>
  </si>
  <si>
    <t>PR0100</t>
  </si>
  <si>
    <t>GELATO G021A</t>
  </si>
  <si>
    <t>PR0101</t>
  </si>
  <si>
    <t>GELATO G022A</t>
  </si>
  <si>
    <t>PR0102</t>
  </si>
  <si>
    <t>GELATO G022B</t>
  </si>
  <si>
    <t>PR0103</t>
  </si>
  <si>
    <t>GELATO G023</t>
  </si>
  <si>
    <t>PR0104</t>
  </si>
  <si>
    <t>GELATO G024</t>
  </si>
  <si>
    <t>PR0105</t>
  </si>
  <si>
    <t>GELATO G025</t>
  </si>
  <si>
    <t>PR0106</t>
  </si>
  <si>
    <t>GELATO G002-A</t>
  </si>
  <si>
    <t>PR0107</t>
  </si>
  <si>
    <t>G026 CARAMELIZED MANGO, KG</t>
  </si>
  <si>
    <t>PR0108</t>
  </si>
  <si>
    <t>G027 MANGO SYMPHONY, KG</t>
  </si>
  <si>
    <t>PR0109</t>
  </si>
  <si>
    <t>G028 CARAMELIZED PEACHES, KG</t>
  </si>
  <si>
    <t>PR0110</t>
  </si>
  <si>
    <t>G029 PISTACHIO GELATO, KG</t>
  </si>
  <si>
    <t>PR0111</t>
  </si>
  <si>
    <t>G033 FRUIT BASE, KG</t>
  </si>
  <si>
    <t>PR0112</t>
  </si>
  <si>
    <t>A001 MANGO PUREE, KG</t>
  </si>
  <si>
    <t>PR0113</t>
  </si>
  <si>
    <t>A001 MANGO PUREE- B, KG</t>
  </si>
  <si>
    <t>PR0114</t>
  </si>
  <si>
    <t>G030 INVERT SUGAR, KG</t>
  </si>
  <si>
    <t>PR0115</t>
  </si>
  <si>
    <t>G031 INVERT SUGAR, KG</t>
  </si>
  <si>
    <t>PR0116</t>
  </si>
  <si>
    <t>G032 INVERT SUGAR, KG</t>
  </si>
  <si>
    <t>PR0117</t>
  </si>
  <si>
    <t>A003 MANGO PUREE, KG</t>
  </si>
  <si>
    <t>PR0118</t>
  </si>
  <si>
    <t>A004 MANGO PUREE, KG</t>
  </si>
  <si>
    <t>PR0119</t>
  </si>
  <si>
    <t>G046 NY CHEESECAKE, KG</t>
  </si>
  <si>
    <t>PR0120</t>
  </si>
  <si>
    <t>G048, PACK</t>
  </si>
  <si>
    <t>PR0121</t>
  </si>
  <si>
    <t>G100, KG</t>
  </si>
  <si>
    <t>PR0122</t>
  </si>
  <si>
    <t>G049, KG</t>
  </si>
  <si>
    <t>PR0123</t>
  </si>
  <si>
    <t>G049-1, 535G/PK, PK</t>
  </si>
  <si>
    <t>PR0124</t>
  </si>
  <si>
    <t>G050, KG</t>
  </si>
  <si>
    <t>PR0125</t>
  </si>
  <si>
    <t>G051, KG</t>
  </si>
  <si>
    <t>PR0126</t>
  </si>
  <si>
    <t>G052, KG</t>
  </si>
  <si>
    <t>PR0127</t>
  </si>
  <si>
    <t>G053, KG</t>
  </si>
  <si>
    <t>PR0128</t>
  </si>
  <si>
    <t>G054(CHOCNUT&amp;DURIAN PRREMIX), KG</t>
  </si>
  <si>
    <t>PR0129</t>
  </si>
  <si>
    <t>G055(UBE&amp;MANGO PREMIX), KG</t>
  </si>
  <si>
    <t>PR0130</t>
  </si>
  <si>
    <t>G056, KG</t>
  </si>
  <si>
    <t>PR0131</t>
  </si>
  <si>
    <t>PREMIX G110 ATO</t>
  </si>
  <si>
    <t>PR0132</t>
  </si>
  <si>
    <t>PREMIX G111 BIS</t>
  </si>
  <si>
    <t>PR0133</t>
  </si>
  <si>
    <t>PREMIX G112 NOC</t>
  </si>
  <si>
    <t>PR0134</t>
  </si>
  <si>
    <t>PREMIX G113 FER</t>
  </si>
  <si>
    <t>PR0135</t>
  </si>
  <si>
    <t>PREMIX G114 MEN</t>
  </si>
  <si>
    <t>PR0136</t>
  </si>
  <si>
    <t>PREMIX G115 SAN</t>
  </si>
  <si>
    <t>PR0137</t>
  </si>
  <si>
    <t>PREMIX G116 CHONUT</t>
  </si>
  <si>
    <t>PR0138</t>
  </si>
  <si>
    <t>PREMIX G117 CHOCO</t>
  </si>
  <si>
    <t>PR0139</t>
  </si>
  <si>
    <t>PREMIX G118 CSRG</t>
  </si>
  <si>
    <t>PR0140</t>
  </si>
  <si>
    <t>PREMIX, G119 ORE</t>
  </si>
  <si>
    <t>PR0141</t>
  </si>
  <si>
    <t>PREMIX, G120 PIS</t>
  </si>
  <si>
    <t>PR0142</t>
  </si>
  <si>
    <t>PREMIX, G121 STRW</t>
  </si>
  <si>
    <t>PR0143</t>
  </si>
  <si>
    <t>PREMIX, G122 TIR</t>
  </si>
  <si>
    <t>PR0144</t>
  </si>
  <si>
    <t>PREMIX, G123 TIR</t>
  </si>
  <si>
    <t>PR0145</t>
  </si>
  <si>
    <t>PREMIX, G124 TAR</t>
  </si>
  <si>
    <t>PR0146</t>
  </si>
  <si>
    <t>PREMIX, G125 UBE</t>
  </si>
  <si>
    <t>PR0147</t>
  </si>
  <si>
    <t>PREMIX, G126 ESP</t>
  </si>
  <si>
    <t>PR0148</t>
  </si>
  <si>
    <t>PREMIX, G127 MNG</t>
  </si>
  <si>
    <t>PR0149</t>
  </si>
  <si>
    <t>PREMIX, G128 DRN</t>
  </si>
  <si>
    <t>PR0150</t>
  </si>
  <si>
    <t>G035, KG</t>
  </si>
  <si>
    <t>PR0151</t>
  </si>
  <si>
    <t>G036, KG</t>
  </si>
  <si>
    <t>PR0152</t>
  </si>
  <si>
    <t>G037, KG</t>
  </si>
  <si>
    <t>PR0153</t>
  </si>
  <si>
    <t>G038, KG</t>
  </si>
  <si>
    <t>PR0154</t>
  </si>
  <si>
    <t>PIZZA DOUGH B015</t>
  </si>
  <si>
    <t>PR0155</t>
  </si>
  <si>
    <t>PIZZA DOUGH BO15(HALFBATCH),KG</t>
  </si>
  <si>
    <t>PR0156</t>
  </si>
  <si>
    <t>ENSAIMADA DOUGH B014</t>
  </si>
  <si>
    <t>PR0157</t>
  </si>
  <si>
    <t>ENSAIMADA B014-A</t>
  </si>
  <si>
    <t>PR0158</t>
  </si>
  <si>
    <t>ENSAIMADA TOPPING B014-B</t>
  </si>
  <si>
    <t>PR0159</t>
  </si>
  <si>
    <t>RAISIN BREAD B016</t>
  </si>
  <si>
    <t>PR0160</t>
  </si>
  <si>
    <t>SPINACH B012</t>
  </si>
  <si>
    <t>PR0161</t>
  </si>
  <si>
    <t>FOCCACIA B025-1</t>
  </si>
  <si>
    <t>PR0162</t>
  </si>
  <si>
    <t>FOCCACIA B025-2</t>
  </si>
  <si>
    <t>PR0163</t>
  </si>
  <si>
    <t>FOCCACIA B025-3</t>
  </si>
  <si>
    <t>PR0164</t>
  </si>
  <si>
    <t>CIABATTA B030</t>
  </si>
  <si>
    <t>PR0165</t>
  </si>
  <si>
    <t>CIABATTA B030-1</t>
  </si>
  <si>
    <t>PR0166</t>
  </si>
  <si>
    <t>CIABATTA B030-2</t>
  </si>
  <si>
    <t>PR0167</t>
  </si>
  <si>
    <t>FOCCACIA BREAD B025-2A</t>
  </si>
  <si>
    <t>PR0168</t>
  </si>
  <si>
    <t>FOCCACIA BREAD B025-3A</t>
  </si>
  <si>
    <t>PR0169</t>
  </si>
  <si>
    <t>RAISIN BREAD B016-A</t>
  </si>
  <si>
    <t>PR0170</t>
  </si>
  <si>
    <t>RAISIN BREAD B056</t>
  </si>
  <si>
    <t>PR0171</t>
  </si>
  <si>
    <t>ENSAIMADA DOUGH, B026, KG</t>
  </si>
  <si>
    <t>PR0172</t>
  </si>
  <si>
    <t>BDM B002</t>
  </si>
  <si>
    <t>PR0173</t>
  </si>
  <si>
    <t>BDM B002-A</t>
  </si>
  <si>
    <t>PR0174</t>
  </si>
  <si>
    <t>SANS RIVAL B011-1</t>
  </si>
  <si>
    <t>PR0175</t>
  </si>
  <si>
    <t>B011-1A, KG</t>
  </si>
  <si>
    <t>PR0176</t>
  </si>
  <si>
    <t>NEW SANSRIVAL WAFER, B100, KG</t>
  </si>
  <si>
    <t>PR0177</t>
  </si>
  <si>
    <t>SANS RIVAL B011-2B</t>
  </si>
  <si>
    <t>PR0179</t>
  </si>
  <si>
    <t>SANS RIVAL B011-2A</t>
  </si>
  <si>
    <t>PR0180</t>
  </si>
  <si>
    <t>MANGO TANGO B007-1</t>
  </si>
  <si>
    <t>PR0181</t>
  </si>
  <si>
    <t>MANGO TANGO B007-2</t>
  </si>
  <si>
    <t>PR0182</t>
  </si>
  <si>
    <t>WHITE CHIFFON B026</t>
  </si>
  <si>
    <t>PR0183</t>
  </si>
  <si>
    <t>WHITE CHIFON B026-1</t>
  </si>
  <si>
    <t>PR0184</t>
  </si>
  <si>
    <t>XANTHAN GUM PREMIX B027</t>
  </si>
  <si>
    <t>PR0185</t>
  </si>
  <si>
    <t>GELATINE PREMIXB028</t>
  </si>
  <si>
    <t>PR0186</t>
  </si>
  <si>
    <t>CHOCO CHIFFON B029</t>
  </si>
  <si>
    <t>PR0187</t>
  </si>
  <si>
    <t>CHOCO CHIFFON B029-1</t>
  </si>
  <si>
    <t>PR0188</t>
  </si>
  <si>
    <t>CHOCO MOIST B022</t>
  </si>
  <si>
    <t>PR0189</t>
  </si>
  <si>
    <t>GANACHE ICING B21</t>
  </si>
  <si>
    <t>PR0190</t>
  </si>
  <si>
    <t>PISTACIO B031-A</t>
  </si>
  <si>
    <t>PR0191</t>
  </si>
  <si>
    <t>WHITE FROSTING B033</t>
  </si>
  <si>
    <t>PR0192</t>
  </si>
  <si>
    <t>BRAZO DM (B034), KG</t>
  </si>
  <si>
    <t>PR0193</t>
  </si>
  <si>
    <t>BRAZO DM (B034-1), KG</t>
  </si>
  <si>
    <t>PR0194</t>
  </si>
  <si>
    <t>BRAZO DM (B034-2), KG</t>
  </si>
  <si>
    <t>PR0195</t>
  </si>
  <si>
    <t>FRESH YELLOW PASTA (PN002 )</t>
  </si>
  <si>
    <t>PR0196</t>
  </si>
  <si>
    <t>FRESH GREEN PASTA (PN001)</t>
  </si>
  <si>
    <t>PR0197</t>
  </si>
  <si>
    <t>BFC B035</t>
  </si>
  <si>
    <t>PR0198</t>
  </si>
  <si>
    <t>BFC B036</t>
  </si>
  <si>
    <t>PR0199</t>
  </si>
  <si>
    <t>BFC B037</t>
  </si>
  <si>
    <t>PR0200</t>
  </si>
  <si>
    <t>NOC B047</t>
  </si>
  <si>
    <t>PR0201</t>
  </si>
  <si>
    <t>BRAZO DM (B034-3), KG</t>
  </si>
  <si>
    <t>PR0202</t>
  </si>
  <si>
    <t>FBM-B052</t>
  </si>
  <si>
    <t>PR0203</t>
  </si>
  <si>
    <t>CAR-B053</t>
  </si>
  <si>
    <t>PR0204</t>
  </si>
  <si>
    <t>TIR GELATO G012</t>
  </si>
  <si>
    <t>PR0205</t>
  </si>
  <si>
    <t>TIR GELATO G012-1</t>
  </si>
  <si>
    <t>PR0206</t>
  </si>
  <si>
    <t>OREO GELATO G011</t>
  </si>
  <si>
    <t>PR0207</t>
  </si>
  <si>
    <t>CARAMELLA B064-A</t>
  </si>
  <si>
    <t>PR0208</t>
  </si>
  <si>
    <t>CARAMELLA B064-B</t>
  </si>
  <si>
    <t>PR0209</t>
  </si>
  <si>
    <t>CARAMELLA B048-A</t>
  </si>
  <si>
    <t>PR0210</t>
  </si>
  <si>
    <t>CARAMELLA B049-A</t>
  </si>
  <si>
    <t>PR0211</t>
  </si>
  <si>
    <t>CARAMELLA B048-B</t>
  </si>
  <si>
    <t>PR0212</t>
  </si>
  <si>
    <t>CARAMELLA B049-B</t>
  </si>
  <si>
    <t>PR0213</t>
  </si>
  <si>
    <t>CARAMELLA B053-A</t>
  </si>
  <si>
    <t>PR0214</t>
  </si>
  <si>
    <t>CARAMELLA B053-B</t>
  </si>
  <si>
    <t>PR0215</t>
  </si>
  <si>
    <t>PREMIX G015-1</t>
  </si>
  <si>
    <t>PR0216</t>
  </si>
  <si>
    <t>PREMIX G067, KG</t>
  </si>
  <si>
    <t>PR0217</t>
  </si>
  <si>
    <t>PREMIX B101(COOKIE DOUGH VANILLA GELATO), KG</t>
  </si>
  <si>
    <t>PR0218</t>
  </si>
  <si>
    <t>B065 CHOCO ICING, KG</t>
  </si>
  <si>
    <t>PR0219</t>
  </si>
  <si>
    <t>B049C FBC TENTAZIONE, KG</t>
  </si>
  <si>
    <t>PR0220</t>
  </si>
  <si>
    <t>B048C FBC TENTAZIONE, KG</t>
  </si>
  <si>
    <t>PR0221</t>
  </si>
  <si>
    <t>B065A FOOD COLOR, KG</t>
  </si>
  <si>
    <t>PR0222</t>
  </si>
  <si>
    <t>B065B FOOD COLOR, KG</t>
  </si>
  <si>
    <t>PR0223</t>
  </si>
  <si>
    <t>B065C FOOD COLOR, KG</t>
  </si>
  <si>
    <t>PR0224</t>
  </si>
  <si>
    <t>B066 MANGO PIE CRUST, KG</t>
  </si>
  <si>
    <t>PR0225</t>
  </si>
  <si>
    <t>B067 PEACH WALNUT CRUST, KG</t>
  </si>
  <si>
    <t>PR0226</t>
  </si>
  <si>
    <t>B068 PEACH WALNUT CRUST, KG</t>
  </si>
  <si>
    <t>PR0227</t>
  </si>
  <si>
    <t>B080</t>
  </si>
  <si>
    <t>PR0228</t>
  </si>
  <si>
    <t>B081</t>
  </si>
  <si>
    <t>PR0229</t>
  </si>
  <si>
    <t>PREMIX B082, KG</t>
  </si>
  <si>
    <t>PR0230</t>
  </si>
  <si>
    <t>PREMIX B083, KG</t>
  </si>
  <si>
    <t>PR0231</t>
  </si>
  <si>
    <t>B082, KG</t>
  </si>
  <si>
    <t>PR0232</t>
  </si>
  <si>
    <t>B084(RED STRIP, FIRST LAYER), KG</t>
  </si>
  <si>
    <t>PR0233</t>
  </si>
  <si>
    <t>B085(RED STRIP, SECOND LAYER), KG</t>
  </si>
  <si>
    <t>PR0234</t>
  </si>
  <si>
    <t>B086(YELLOW/BROWN STRIP, FIRST LAYER), KG</t>
  </si>
  <si>
    <t>PR0235</t>
  </si>
  <si>
    <t>B087(YELLOW/BROWN STRIP, SECOND LAYER), KG</t>
  </si>
  <si>
    <t>PR0236</t>
  </si>
  <si>
    <t>HOT CHOCO PREMIX F0020</t>
  </si>
  <si>
    <t>PR0237</t>
  </si>
  <si>
    <t>B088(TIRAMISU WINE SOLUTION), KG</t>
  </si>
  <si>
    <t>PR0238</t>
  </si>
  <si>
    <t>PREMIX, G120 PIS(REVISED)</t>
  </si>
  <si>
    <t>PR0239</t>
  </si>
  <si>
    <t>PREMIX, G057  BAI</t>
  </si>
  <si>
    <t>PR0240</t>
  </si>
  <si>
    <t>PREMIX, G058 VAR</t>
  </si>
  <si>
    <t>PR0241</t>
  </si>
  <si>
    <t>PREMIX, G059 BBC</t>
  </si>
  <si>
    <t>PR0242</t>
  </si>
  <si>
    <t>PREMIX, G060 CARAMEL SAUCE(LAYERING)</t>
  </si>
  <si>
    <t>PR0243</t>
  </si>
  <si>
    <t>PREMIX, G061 SALTED CARAMEL</t>
  </si>
  <si>
    <t>PR0244</t>
  </si>
  <si>
    <t>CARAMELLA B053-C</t>
  </si>
  <si>
    <t>PR0245</t>
  </si>
  <si>
    <t>BEEF TAPA PREMIX F0024, KG</t>
  </si>
  <si>
    <t>PR0246</t>
  </si>
  <si>
    <t>PREMIX G062, KG</t>
  </si>
  <si>
    <t>PR0247</t>
  </si>
  <si>
    <t>PREMIX G063, KG</t>
  </si>
  <si>
    <t>PR0248</t>
  </si>
  <si>
    <t>PREMIX G064, KG</t>
  </si>
  <si>
    <t>PR0249</t>
  </si>
  <si>
    <t>WHITE CHIFFON B026-2</t>
  </si>
  <si>
    <t>PR0250</t>
  </si>
  <si>
    <t>B089(TIRAMISU FILLING), KG</t>
  </si>
  <si>
    <t>PR0251</t>
  </si>
  <si>
    <t>PREMIX B090, KG</t>
  </si>
  <si>
    <t>PR0252</t>
  </si>
  <si>
    <t>PREMIX B091, KG</t>
  </si>
  <si>
    <t>PR0253</t>
  </si>
  <si>
    <t>PREMIX B092, KG</t>
  </si>
  <si>
    <t>PR0254</t>
  </si>
  <si>
    <t>PREMIX B095, KG</t>
  </si>
  <si>
    <t>PR0255</t>
  </si>
  <si>
    <t>PREMIX B096, KG</t>
  </si>
  <si>
    <t>PR0256</t>
  </si>
  <si>
    <t>PREMIX B097, KG</t>
  </si>
  <si>
    <t>PR0257</t>
  </si>
  <si>
    <t>CALAMARI PREMIX HS041, KG</t>
  </si>
  <si>
    <t>PR0258</t>
  </si>
  <si>
    <t>SWEET PIZZA SAUCE PREMIX PZ16, KG</t>
  </si>
  <si>
    <t>PR0259</t>
  </si>
  <si>
    <t>SANSRIVAL WAFER-SQUARE, B100-B, KG</t>
  </si>
  <si>
    <t>PR0260</t>
  </si>
  <si>
    <t>BY- PRODUCT  HS012-B REHYDRATED,KG</t>
  </si>
  <si>
    <t>PR0261</t>
  </si>
  <si>
    <t>BY- PRODUCT  HS012-C REHYDRATED,KG</t>
  </si>
  <si>
    <t>PR0262</t>
  </si>
  <si>
    <t>REHYDRATED HS012-B, KG</t>
  </si>
  <si>
    <t>PR0263</t>
  </si>
  <si>
    <t>REHYDRATED HS012-C, KG</t>
  </si>
  <si>
    <t>PR0264</t>
  </si>
  <si>
    <t>B100-A, NEW SANSRIVAL ICING</t>
  </si>
  <si>
    <t>PR0265</t>
  </si>
  <si>
    <t>FRUIT PASTE G004-1</t>
  </si>
  <si>
    <t>PR0266</t>
  </si>
  <si>
    <t>FRUIT MARINADE G005</t>
  </si>
  <si>
    <t>PR0267</t>
  </si>
  <si>
    <t>FRUIT PASTE G004</t>
  </si>
  <si>
    <t>PR0268</t>
  </si>
  <si>
    <t>WHITE BASE - G001</t>
  </si>
  <si>
    <t>PR0269</t>
  </si>
  <si>
    <t>PREMIX B093, KG</t>
  </si>
  <si>
    <t>PR0270</t>
  </si>
  <si>
    <t>PREMIX B094, KG</t>
  </si>
  <si>
    <t>PR0271</t>
  </si>
  <si>
    <t>MAC &amp; CHEESE SAUCE PREMIX P032, KG</t>
  </si>
  <si>
    <t>PR0272</t>
  </si>
  <si>
    <t>CLAM CHOWDER PREMIX HS042 - A, KG</t>
  </si>
  <si>
    <t>PR0273</t>
  </si>
  <si>
    <t>CLAM CHOWDER PREMIX HS042 - B, KG</t>
  </si>
  <si>
    <t>PR0274</t>
  </si>
  <si>
    <t>PULLED PORK PREMIX HS043, KG</t>
  </si>
  <si>
    <t>PR0275</t>
  </si>
  <si>
    <t>BARBEQUE SAUCE PREMIX HS044, KG</t>
  </si>
  <si>
    <t>PR0276</t>
  </si>
  <si>
    <t>BRAISED PORK BELLY PREMIX HS045, KG</t>
  </si>
  <si>
    <t>PR0277</t>
  </si>
  <si>
    <t>PREMIX G065, KG</t>
  </si>
  <si>
    <t>PR0278</t>
  </si>
  <si>
    <t>PREMIX B103(COOKIE DOUGH), KG</t>
  </si>
  <si>
    <t>PR0279</t>
  </si>
  <si>
    <t>PREMIX B104(COOKIE DOUGH), KG</t>
  </si>
  <si>
    <t>PR0280</t>
  </si>
  <si>
    <t>PREMIX B102(BAKED FUDGE), KG</t>
  </si>
  <si>
    <t>PR0281</t>
  </si>
  <si>
    <t>PREMIX G066, KG</t>
  </si>
  <si>
    <t>PR0282</t>
  </si>
  <si>
    <t>CITRUS DRESSING PREMIX HS047, KG</t>
  </si>
  <si>
    <t>PR0283</t>
  </si>
  <si>
    <t>CHICKEN TENDERS PREMIX HS046-A, KG</t>
  </si>
  <si>
    <t>PR0284</t>
  </si>
  <si>
    <t>CHICKEN TENDERS PREMIX HS046-B, KG</t>
  </si>
  <si>
    <t>PR0285</t>
  </si>
  <si>
    <t>BOILED PORK BELLY PREMIX HS050, KG</t>
  </si>
  <si>
    <t>PR0286</t>
  </si>
  <si>
    <t>HERB SAUCE PREMIX HS048, KG</t>
  </si>
  <si>
    <t>PR0287</t>
  </si>
  <si>
    <t>HERB SAUCE PREMIX HS049, KG</t>
  </si>
  <si>
    <t>PR0288</t>
  </si>
  <si>
    <t>PREMIX B105(CASHEW BRITTLE), KG</t>
  </si>
  <si>
    <t>PR0289</t>
  </si>
  <si>
    <t>PREMIX B106(BUTTER-CREAM FILLING), KG</t>
  </si>
  <si>
    <t>PR0290</t>
  </si>
  <si>
    <t>PREMIX B107(BUTTER-CREAM FILLING), KG</t>
  </si>
  <si>
    <t>PR0291</t>
  </si>
  <si>
    <t>PREMIX B108-A(BOILED ICING-SMORES), KG</t>
  </si>
  <si>
    <t>PR0292</t>
  </si>
  <si>
    <t>PREMIX B108-B(BOILED ICING-SMORES), KG</t>
  </si>
  <si>
    <t>PR0293</t>
  </si>
  <si>
    <t>PREMIX B109(BUTTER CHOCOLATE CAKE), KG</t>
  </si>
  <si>
    <t>PR0294</t>
  </si>
  <si>
    <t>PREMIX B110(BUTTER CHOCOLATE CAKE), KG</t>
  </si>
  <si>
    <t>PR0295</t>
  </si>
  <si>
    <t>PREMIX B111(CHOCO MOUSSE FILLING), KG</t>
  </si>
  <si>
    <t>PR0296</t>
  </si>
  <si>
    <t>NATIVE BOILED PORK BELLY PREMIX HS051, KG</t>
  </si>
  <si>
    <t>PR0297</t>
  </si>
  <si>
    <t>HS052 CHILLI OIL</t>
  </si>
  <si>
    <t>PR0298</t>
  </si>
  <si>
    <t>G068 BAILEYS-MILK CHOCOLATE GELATO</t>
  </si>
  <si>
    <t>PR0299</t>
  </si>
  <si>
    <t>B112 CONE WAFER</t>
  </si>
  <si>
    <t>PR0300</t>
  </si>
  <si>
    <t>PZ08-A WALNUT PASTE</t>
  </si>
  <si>
    <t>PR0301</t>
  </si>
  <si>
    <t>HS053 CAPERS SAUCE</t>
  </si>
  <si>
    <t>PR0302</t>
  </si>
  <si>
    <t>HS054 PESTO AIOLI SAUCE</t>
  </si>
  <si>
    <t>PR0303</t>
  </si>
  <si>
    <t>B113-A WHITE CHIFFON (NEW)</t>
  </si>
  <si>
    <t>PR0304</t>
  </si>
  <si>
    <t>B113-B WHITE CHIFFON (NEW)</t>
  </si>
  <si>
    <t>PR0305</t>
  </si>
  <si>
    <t>B113-C WHITE CHIFFON (NEW)</t>
  </si>
  <si>
    <t>PR0306</t>
  </si>
  <si>
    <t>B113-D WHITE CHIFFON (NEW)</t>
  </si>
  <si>
    <t>PR0307</t>
  </si>
  <si>
    <t>B114-A SALTED COFFEE CRUNCH</t>
  </si>
  <si>
    <t>PR0308</t>
  </si>
  <si>
    <t>B114-B SALTED COFFEE CRUNCH</t>
  </si>
  <si>
    <t>PR0309</t>
  </si>
  <si>
    <t>B114-C SALTED COFFEE CRUNCH</t>
  </si>
  <si>
    <t>PR0310</t>
  </si>
  <si>
    <t>B115-A UNSALTED COFFEE CRUNCH</t>
  </si>
  <si>
    <t>PR0311</t>
  </si>
  <si>
    <t>B115-B UNSALTED COFFEE CRUNCH</t>
  </si>
  <si>
    <t>PR0312</t>
  </si>
  <si>
    <t>B116 COFFEE CREAM FILLING</t>
  </si>
  <si>
    <t>PR0313</t>
  </si>
  <si>
    <t>B117 WHITE FROSTING (60-40)</t>
  </si>
  <si>
    <t>PR0314</t>
  </si>
  <si>
    <t>G009-1 BAKED GRAHAM CRUST</t>
  </si>
  <si>
    <t>PR0315</t>
  </si>
  <si>
    <t>HS052 NEW CHILI OIL (CONDIMENT)</t>
  </si>
  <si>
    <t>PR0316</t>
  </si>
  <si>
    <t>B118 CHOCO CHIP COOKIES</t>
  </si>
  <si>
    <t>PR0317</t>
  </si>
  <si>
    <t>B119 CHOCO CHIP COOKIES</t>
  </si>
  <si>
    <t>PR0318</t>
  </si>
  <si>
    <t>PREMIX G069</t>
  </si>
  <si>
    <t>PR0319</t>
  </si>
  <si>
    <t>PREMIX G070</t>
  </si>
  <si>
    <t>PR0320</t>
  </si>
  <si>
    <t>PREMIX G071</t>
  </si>
  <si>
    <t>PR0321</t>
  </si>
  <si>
    <t>PREMIX G072</t>
  </si>
  <si>
    <t>PR0322</t>
  </si>
  <si>
    <t>PREMIX B120</t>
  </si>
  <si>
    <t>PR0323</t>
  </si>
  <si>
    <t>PREMIX B121</t>
  </si>
  <si>
    <t>PR0324</t>
  </si>
  <si>
    <t>PREMIX B122</t>
  </si>
  <si>
    <t>PR0325</t>
  </si>
  <si>
    <t>PREMIX B123</t>
  </si>
  <si>
    <t>PR0326</t>
  </si>
  <si>
    <t>PREMIX B124</t>
  </si>
  <si>
    <t>PR0327</t>
  </si>
  <si>
    <t>PREMIX B125</t>
  </si>
  <si>
    <t>PR0328</t>
  </si>
  <si>
    <t>PREMIX HS055</t>
  </si>
  <si>
    <t>PR0329</t>
  </si>
  <si>
    <t>PREMIX HS056</t>
  </si>
  <si>
    <t>PR0330</t>
  </si>
  <si>
    <t>PREMIX HS057</t>
  </si>
  <si>
    <t>PR0331</t>
  </si>
  <si>
    <t>PREMIX HS058</t>
  </si>
  <si>
    <t>PR0332</t>
  </si>
  <si>
    <t>PREMIX HS059</t>
  </si>
  <si>
    <t>PR0333</t>
  </si>
  <si>
    <t>PREMIX HS060</t>
  </si>
  <si>
    <t>PR0334</t>
  </si>
  <si>
    <t>PREMIX HS061</t>
  </si>
  <si>
    <t>PR0335</t>
  </si>
  <si>
    <t>PREMIX HS062</t>
  </si>
  <si>
    <t>PR0337</t>
  </si>
  <si>
    <t>PREMIX HS063 WILD MUSHROOM FRITTERS</t>
  </si>
  <si>
    <t>PR0339</t>
  </si>
  <si>
    <t>PREMIX HS067</t>
  </si>
  <si>
    <t>PR0340</t>
  </si>
  <si>
    <t>PREMIX HS068</t>
  </si>
  <si>
    <t>PR0341</t>
  </si>
  <si>
    <t>PREMIX HS066</t>
  </si>
  <si>
    <t>PR0342</t>
  </si>
  <si>
    <t>PREMIX HS064</t>
  </si>
  <si>
    <t>PR0343</t>
  </si>
  <si>
    <t>PREMIX HS065</t>
  </si>
  <si>
    <t>PR0344</t>
  </si>
  <si>
    <t>PREMIX B126 CHOCO MOUSSE</t>
  </si>
  <si>
    <t>PR0345</t>
  </si>
  <si>
    <t>PREMIX B127 CCB WINE SOLUTION</t>
  </si>
  <si>
    <t>PR0346</t>
  </si>
  <si>
    <t>PREMIX B128 CHERRY JAM</t>
  </si>
  <si>
    <t>PR0347</t>
  </si>
  <si>
    <t>PREMIX B129 CCB COFFEE FILLING</t>
  </si>
  <si>
    <t>PR0348</t>
  </si>
  <si>
    <t>PREMIX B130</t>
  </si>
  <si>
    <t>PR0349</t>
  </si>
  <si>
    <t>PREMIX B131</t>
  </si>
  <si>
    <t>PR0350</t>
  </si>
  <si>
    <t>PREMIX B133 BROWNIES</t>
  </si>
  <si>
    <t>PR0351</t>
  </si>
  <si>
    <t>PREMIX B134 BROWNIES</t>
  </si>
  <si>
    <t>PR0352</t>
  </si>
  <si>
    <t>PREMIX G073</t>
  </si>
  <si>
    <t>PR0353</t>
  </si>
  <si>
    <t>PREMIX G074 BAILEYS</t>
  </si>
  <si>
    <t>PR0354</t>
  </si>
  <si>
    <t>B101 GELATO PREMIX</t>
  </si>
  <si>
    <t>PR0355</t>
  </si>
  <si>
    <t>NPG112</t>
  </si>
  <si>
    <t>PR0356</t>
  </si>
  <si>
    <t>NPG113</t>
  </si>
  <si>
    <t>PR0357</t>
  </si>
  <si>
    <t>NPG114</t>
  </si>
  <si>
    <t>PR0358</t>
  </si>
  <si>
    <t>NPG115</t>
  </si>
  <si>
    <t>PR0359</t>
  </si>
  <si>
    <t>NPG117</t>
  </si>
  <si>
    <t>PR0360</t>
  </si>
  <si>
    <t>NPG118</t>
  </si>
  <si>
    <t>PR0361</t>
  </si>
  <si>
    <t>NPG119</t>
  </si>
  <si>
    <t>PR0362</t>
  </si>
  <si>
    <t>NPG121</t>
  </si>
  <si>
    <t>PR0363</t>
  </si>
  <si>
    <t>NPG124</t>
  </si>
  <si>
    <t>PR0364</t>
  </si>
  <si>
    <t>NPG126</t>
  </si>
  <si>
    <t>PR0365</t>
  </si>
  <si>
    <t>NPG059</t>
  </si>
  <si>
    <t>PR0366</t>
  </si>
  <si>
    <t>NPG120</t>
  </si>
  <si>
    <t>PR0367</t>
  </si>
  <si>
    <t>NPG065</t>
  </si>
  <si>
    <t>PR0368</t>
  </si>
  <si>
    <t>NPB101</t>
  </si>
  <si>
    <t>PR0369</t>
  </si>
  <si>
    <t>NPG073</t>
  </si>
  <si>
    <t>PR0370</t>
  </si>
  <si>
    <t>NPG074</t>
  </si>
  <si>
    <t>PR0371</t>
  </si>
  <si>
    <t>NPG023</t>
  </si>
  <si>
    <t>PR0372</t>
  </si>
  <si>
    <t>NPG071</t>
  </si>
  <si>
    <t>PR0373</t>
  </si>
  <si>
    <t>PREMIX B132 MANGO MAGNIFICO</t>
  </si>
  <si>
    <t>PR0374</t>
  </si>
  <si>
    <t>PREMIX B135 CHEESECAKE</t>
  </si>
  <si>
    <t>PR0375</t>
  </si>
  <si>
    <t>PREMIX B136 CHEESECAKE</t>
  </si>
  <si>
    <t>PR0376</t>
  </si>
  <si>
    <t>PREMIX F0025 ADOBO FLAKES</t>
  </si>
  <si>
    <t>PR0377</t>
  </si>
  <si>
    <t>PREMIX G075 CARAMEL SAUCE</t>
  </si>
  <si>
    <t>PR0378</t>
  </si>
  <si>
    <t>PREMIX HS014-1 NEW LEMON HONEY VINAIGRETTE</t>
  </si>
  <si>
    <t>PR0379</t>
  </si>
  <si>
    <t>PREMIX B140 LEMON CRUST PREMIX 1</t>
  </si>
  <si>
    <t>PR0380</t>
  </si>
  <si>
    <t>PREMIX B141</t>
  </si>
  <si>
    <t>PR0381</t>
  </si>
  <si>
    <t>PREMIX B142</t>
  </si>
  <si>
    <t>PR0382</t>
  </si>
  <si>
    <t>PREMIX HS071</t>
  </si>
  <si>
    <t>PR0383</t>
  </si>
  <si>
    <t>PREMIX HS070</t>
  </si>
  <si>
    <t>PR0384</t>
  </si>
  <si>
    <t>PREMIX HS072</t>
  </si>
  <si>
    <t>PR0385</t>
  </si>
  <si>
    <t>PREMIX G077</t>
  </si>
  <si>
    <t>PR0386</t>
  </si>
  <si>
    <t>PREMIX G076</t>
  </si>
  <si>
    <t>PR0387</t>
  </si>
  <si>
    <t>PREMIX G078</t>
  </si>
  <si>
    <t>PR0388</t>
  </si>
  <si>
    <t>PREMIX G079</t>
  </si>
  <si>
    <t>PR0389</t>
  </si>
  <si>
    <t>PREMIX G080</t>
  </si>
  <si>
    <t>PR0390</t>
  </si>
  <si>
    <t>PREMIX B143</t>
  </si>
  <si>
    <t>PR0391</t>
  </si>
  <si>
    <t>PREMIX B144</t>
  </si>
  <si>
    <t>PR0392</t>
  </si>
  <si>
    <t>PREMIX G081</t>
  </si>
  <si>
    <t>PR0393</t>
  </si>
  <si>
    <t>PREMIX G082</t>
  </si>
  <si>
    <t>PR0394</t>
  </si>
  <si>
    <t>PREMIX B145</t>
  </si>
  <si>
    <t>PR0395</t>
  </si>
  <si>
    <t>PREMIX B100-1</t>
  </si>
  <si>
    <t>PR0396</t>
  </si>
  <si>
    <t>PREMIX B115-C</t>
  </si>
  <si>
    <t>PR0397</t>
  </si>
  <si>
    <t>PREMIX B146</t>
  </si>
  <si>
    <t>PR0398</t>
  </si>
  <si>
    <t>PREMIX B147</t>
  </si>
  <si>
    <t>PR0399</t>
  </si>
  <si>
    <t>PREMIX B148</t>
  </si>
  <si>
    <t>PR0400</t>
  </si>
  <si>
    <t>PREMIX B029-2</t>
  </si>
  <si>
    <t>PR0401</t>
  </si>
  <si>
    <t>Premix B017</t>
  </si>
  <si>
    <t>PR0402</t>
  </si>
  <si>
    <t>Premix HS081</t>
  </si>
  <si>
    <t>PR0403</t>
  </si>
  <si>
    <t>Premix B017-1</t>
  </si>
  <si>
    <t>PR0404</t>
  </si>
  <si>
    <t>Premix HS082</t>
  </si>
  <si>
    <t>PR0405</t>
  </si>
  <si>
    <t>Premix B113-E</t>
  </si>
  <si>
    <t>PR0406</t>
  </si>
  <si>
    <t>PREMIX-B149</t>
  </si>
  <si>
    <t>PR0407</t>
  </si>
  <si>
    <t>PREMIX-B150</t>
  </si>
  <si>
    <t>PR0408</t>
  </si>
  <si>
    <t>PREMIX G083</t>
  </si>
  <si>
    <t>PR0409</t>
  </si>
  <si>
    <t>PREMIX G084</t>
  </si>
  <si>
    <t>PR0410</t>
  </si>
  <si>
    <t>PREMIX G085</t>
  </si>
  <si>
    <t>PR0411</t>
  </si>
  <si>
    <t>PREMIX B017-2 (75% San Miguel and 25% Italfood)</t>
  </si>
  <si>
    <t>PR0412</t>
  </si>
  <si>
    <t>PREMIX HS083</t>
  </si>
  <si>
    <t>PR0413</t>
  </si>
  <si>
    <t>PREMIX HS084</t>
  </si>
  <si>
    <t>PR0414</t>
  </si>
  <si>
    <t>PREMIX HS085</t>
  </si>
  <si>
    <t>PR0415</t>
  </si>
  <si>
    <t>PREMIX B151</t>
  </si>
  <si>
    <t>PR0416</t>
  </si>
  <si>
    <t>PREMIX B152</t>
  </si>
  <si>
    <t>PR0417</t>
  </si>
  <si>
    <t>PREMIX B155</t>
  </si>
  <si>
    <t>PR0418</t>
  </si>
  <si>
    <t>PREMIX B153</t>
  </si>
  <si>
    <t>PR0419</t>
  </si>
  <si>
    <t>PREMIX HS086</t>
  </si>
  <si>
    <t>PR0420</t>
  </si>
  <si>
    <t>PREMIX HS087</t>
  </si>
  <si>
    <t>PR0421</t>
  </si>
  <si>
    <t>PREMIX HS088</t>
  </si>
  <si>
    <t>PR0422</t>
  </si>
  <si>
    <t>PREMIX HS089</t>
  </si>
  <si>
    <t>PR0423</t>
  </si>
  <si>
    <t>PREMIX G086 (VANILLA GELATO PREMIX)</t>
  </si>
  <si>
    <t>PR0424</t>
  </si>
  <si>
    <t>PREMIX G087-A (DULCE DE LECHE SYRUP PREMIX)</t>
  </si>
  <si>
    <t>PR0425</t>
  </si>
  <si>
    <t>PREMIX G087-B (DULCE DE LECHE SYRUP PREMIX)</t>
  </si>
  <si>
    <t>PR0426</t>
  </si>
  <si>
    <t>PREMIX G088 (DULCE DE LECHE GELATO PREMIX)</t>
  </si>
  <si>
    <t>PR0427</t>
  </si>
  <si>
    <t>PREMIX G089 (UBE SAUCE PREMIX)</t>
  </si>
  <si>
    <t>PR0428</t>
  </si>
  <si>
    <t>PREMIX G090 (UBE GELATO PREMIX)</t>
  </si>
  <si>
    <t>PR0429</t>
  </si>
  <si>
    <t>PREMIX GO87-C (DULCE DE LECHE SYRUP PREMIX)</t>
  </si>
  <si>
    <t>PR0430</t>
  </si>
  <si>
    <t>PREMIX B156 (UBE HALAYA SLT FLAVORMIX)</t>
  </si>
  <si>
    <t>PR0431</t>
  </si>
  <si>
    <t>PREMIX B157 (SHORTBREAD CRUST PREMIX)</t>
  </si>
  <si>
    <t>PR0432</t>
  </si>
  <si>
    <t>PREMIX B158 (MANGO CREAM FILLING PREMIX)</t>
  </si>
  <si>
    <t>PR0433</t>
  </si>
  <si>
    <t>PREMIX B159-A (MANGO GLAZE PREMIX)</t>
  </si>
  <si>
    <t>PR0434</t>
  </si>
  <si>
    <t>PREMIX B159-B (MANGO GLAZE PREMIX)</t>
  </si>
  <si>
    <t>PR0435</t>
  </si>
  <si>
    <t>PREMIX B159-C (MANGO GLAZE PREMIX)</t>
  </si>
  <si>
    <t>PR0436</t>
  </si>
  <si>
    <t>PREMIX HS090 (CHICKEN STOCK - NEW PREMIX)</t>
  </si>
  <si>
    <t>PR0437</t>
  </si>
  <si>
    <t>PREMX HS091 (CARAMELIZED ONION PREMIX)</t>
  </si>
  <si>
    <t>PR0438</t>
  </si>
  <si>
    <t>PREMIX HS092 (TRUFFLE MUSHROOM DIP PREMIX)</t>
  </si>
  <si>
    <t>PR0439</t>
  </si>
  <si>
    <t>PREMIX HS093 (SALPICAO MARINADE)</t>
  </si>
  <si>
    <t>PR0440</t>
  </si>
  <si>
    <t>PREMIX B160-A (SANS RIVAL COOKIES PREMIX)</t>
  </si>
  <si>
    <t>PR0441</t>
  </si>
  <si>
    <t>PREMIX B160-B (SANS RIVAL COOKIES PREMIX)</t>
  </si>
  <si>
    <t>PR0442</t>
  </si>
  <si>
    <t>PREMIX HS094-A (CREAM CHEESE SAUCE PREMIX)</t>
  </si>
  <si>
    <t>PR0443</t>
  </si>
  <si>
    <t>PREMIX HS094-B (CREAM CHEESE SAUCE PREMIX)</t>
  </si>
  <si>
    <t>PR0444</t>
  </si>
  <si>
    <t>PREMIX HS095 (BUTTER CRUNCH PREMIX)</t>
  </si>
  <si>
    <t>PR0445</t>
  </si>
  <si>
    <t>PREMIX HS096 (CINNAMON CRUMBLE PREMIX)</t>
  </si>
  <si>
    <t>PR0446</t>
  </si>
  <si>
    <t>PREMIX B162 (MANGO MAGNIFICO ICING)</t>
  </si>
  <si>
    <t>PR0447</t>
  </si>
  <si>
    <t>PREMIX B162-A (VANILLA PASTRY CREAM)</t>
  </si>
  <si>
    <t>PR0448</t>
  </si>
  <si>
    <t>PREMIX B162-B (VANILLA PASTRY CREAM)</t>
  </si>
  <si>
    <t>PR0449</t>
  </si>
  <si>
    <t>PREMIX B163 (FRENCH BUTTERCREAM)</t>
  </si>
  <si>
    <t>PR0450</t>
  </si>
  <si>
    <t>PREMIX B164 (EGG CUSTARD)</t>
  </si>
  <si>
    <t>PR0451</t>
  </si>
  <si>
    <t>PEMIX B165 (CRÈME BRULEE FILLING)</t>
  </si>
  <si>
    <t>PR0452</t>
  </si>
  <si>
    <t>PREMIX B166 (CBC)</t>
  </si>
  <si>
    <t>PR0453</t>
  </si>
  <si>
    <t>PREMIX IA001-A (CHOCOLATE BASE CAKE-TK)</t>
  </si>
  <si>
    <t>PR0454</t>
  </si>
  <si>
    <t>PREMIX IA001-B (CHOCOLATE BASE CAKE-TK)</t>
  </si>
  <si>
    <t>PR0455</t>
  </si>
  <si>
    <t>PREMIX IA002 (CARAMEL FILLING-TK)</t>
  </si>
  <si>
    <t>PR0456</t>
  </si>
  <si>
    <t>PREMIX IA003 (CHOCOLATE ICING-TK)</t>
  </si>
  <si>
    <t>PR0457</t>
  </si>
  <si>
    <t>PREMIX B167-A (STRAWBERRY CHIFFON)</t>
  </si>
  <si>
    <t>PR0458</t>
  </si>
  <si>
    <t>PREMIX B167-B (STRAWBERRY CHIFFON)</t>
  </si>
  <si>
    <t>PR0459</t>
  </si>
  <si>
    <t>PREMIX B167-C</t>
  </si>
  <si>
    <t>PR0460</t>
  </si>
  <si>
    <t>PREMIX B161 (PISTACHIO PASTE IN-HOUSE), KG</t>
  </si>
  <si>
    <t>PR0461</t>
  </si>
  <si>
    <t>PREMIX F005.1 (MARINATED CHICKEN)</t>
  </si>
  <si>
    <t>PR0462</t>
  </si>
  <si>
    <t>PREMIX HS098 (CHEF'S CAESAR DRESSING), KG</t>
  </si>
  <si>
    <t>PR0463</t>
  </si>
  <si>
    <t>PREMIX HS097 (HONEY MUSTARD DIP, NEW MAYO), KG</t>
  </si>
  <si>
    <t>PR0464</t>
  </si>
  <si>
    <t>PREMIX HS053.1 (CAPERS SAUCE, NEW MAYO)</t>
  </si>
  <si>
    <t>PR0465</t>
  </si>
  <si>
    <t>PREMIX B168-A (BOILED ICING, NEW), KG</t>
  </si>
  <si>
    <t>PR0466</t>
  </si>
  <si>
    <t>PREMIX B168-B (BOILED ICING, NEW), KG</t>
  </si>
  <si>
    <t>PR0467</t>
  </si>
  <si>
    <t>PREMIX B168-C (BOILEDD ICING, NEW), KG</t>
  </si>
  <si>
    <t>PR0468</t>
  </si>
  <si>
    <t>PREMIX C5001 (PEANUT BUTTER GELATO), KG</t>
  </si>
  <si>
    <t>PR0469</t>
  </si>
  <si>
    <t>PR0470</t>
  </si>
  <si>
    <t>PREMIX B168-D (BOILED ICING, NEW), KG</t>
  </si>
  <si>
    <t>PR0471</t>
  </si>
  <si>
    <t>PREMIX PZ016 RICOTTA CREAM</t>
  </si>
  <si>
    <t>PR0472</t>
  </si>
  <si>
    <t>PREMIX HS099 BASTING SAUCE</t>
  </si>
  <si>
    <t>PR0473</t>
  </si>
  <si>
    <t>PREMIX HS100 BABYBACK RIBS MARINADE</t>
  </si>
  <si>
    <t>PR0474</t>
  </si>
  <si>
    <t>PREMIX HS101 LEMON CHICKEN MARINADE</t>
  </si>
  <si>
    <t>PR0475</t>
  </si>
  <si>
    <t>PREMIX HS102 LEMON SAUCE</t>
  </si>
  <si>
    <t>PR0476</t>
  </si>
  <si>
    <t>PREMIX G005-1 (MCPG FRUIT MARINADE), KG</t>
  </si>
  <si>
    <t>PR0477</t>
  </si>
  <si>
    <t>PREMIX C4001 (CHOCOLATE JAVA CAKE ICING), KG</t>
  </si>
  <si>
    <t>PR0478</t>
  </si>
  <si>
    <t>PREMIX C2001 (COFFEE SYRUP), KG</t>
  </si>
  <si>
    <t>PR0479</t>
  </si>
  <si>
    <t>PREMIX C2002 (COFFEE SYRUP), KG</t>
  </si>
  <si>
    <t>PR0480</t>
  </si>
  <si>
    <t>PREMIX C5002 (COOKIE DOUGH GELATO, NEW), KG</t>
  </si>
  <si>
    <t>PR0481</t>
  </si>
  <si>
    <t>PREMIX C1001 (COOKIE DOUGH - BAKED FLOUR), KG</t>
  </si>
  <si>
    <t>PR0482</t>
  </si>
  <si>
    <t>PREMIX C2003 (COOKIE DOUGH SAUCE) , KG</t>
  </si>
  <si>
    <t>PR0483</t>
  </si>
  <si>
    <t>PREMIX B157.1 (SHORTBREAD CRUST ver.1) , KG</t>
  </si>
  <si>
    <t>PR0484</t>
  </si>
  <si>
    <t>PREMIX A4001 (WHIPPED CREAM ICING - BFC, AMICI), KG</t>
  </si>
  <si>
    <t>PR0485</t>
  </si>
  <si>
    <t>PREMIX A3001 (COFFEE FILLING - BFC, AMICI), KG</t>
  </si>
  <si>
    <t>PR0486</t>
  </si>
  <si>
    <t>PREMIX A2004 (CHERRY JAM, AMICI), KG</t>
  </si>
  <si>
    <t>PR0487</t>
  </si>
  <si>
    <t>PREMIX A2003 (CHOCOLATE MOUSSE - BFC, AMICI), KG</t>
  </si>
  <si>
    <t>PR0488</t>
  </si>
  <si>
    <t>PREMIX A2002 (RHUM SYRUP, AMICI), KG</t>
  </si>
  <si>
    <t>PR0489</t>
  </si>
  <si>
    <t>PREMIX A2001 (SALTED CARAMEL SAUCE, AMICI), KG</t>
  </si>
  <si>
    <t>PR0490</t>
  </si>
  <si>
    <t>PREMIX A2001-B (SALTED CARAMEL SAUCE, AMICI), KG</t>
  </si>
  <si>
    <t>PR0491</t>
  </si>
  <si>
    <t>PREMIX A1002-A (CHEESECAKE BATTER, AMICI), KG</t>
  </si>
  <si>
    <t>PR0492</t>
  </si>
  <si>
    <t>PREMIX A1002-B (CHEESECAKE BATTER, AMICI), KG</t>
  </si>
  <si>
    <t>PR0493</t>
  </si>
  <si>
    <t>PREMIX A1002-C (CHEESECAKE BATTER, AMICI), KG</t>
  </si>
  <si>
    <t>PR0494</t>
  </si>
  <si>
    <t>PREMIX A1001 (CHEESECAKE CRUST, AMICI), KG</t>
  </si>
  <si>
    <t>PR0495</t>
  </si>
  <si>
    <t>PREMIX A5006 (BELGIAN CHOCOLATE with HAZELNUT, AMICI GELATO), KG</t>
  </si>
  <si>
    <t>PR0496</t>
  </si>
  <si>
    <t>PREMIX A5005 (COFFEE ALMOND FUDGE, AMICI GELATO), KG</t>
  </si>
  <si>
    <t>PR0497</t>
  </si>
  <si>
    <t>PREMIX A5004 (BUTTER PECAN, AMICI GELATO), KG</t>
  </si>
  <si>
    <t>PR0498</t>
  </si>
  <si>
    <t>PREMIX A5003 (STRAWBERRY, AMICI GELATO), KG</t>
  </si>
  <si>
    <t>PR0499</t>
  </si>
  <si>
    <t xml:space="preserve">PREMIX A5002 (PISTACHIO with CHOCOLATE, AMICI GELATO), KG </t>
  </si>
  <si>
    <t>PR0500</t>
  </si>
  <si>
    <t>PREMIX A5001 (VANILLA, AMICI GELATO), KG</t>
  </si>
  <si>
    <t>PR0501</t>
  </si>
  <si>
    <t>PREMIX A1004-A (PROFITEROLE, AMICI), KG</t>
  </si>
  <si>
    <t>PR0502</t>
  </si>
  <si>
    <t>PREMIX A1004-B (PROFITEROLE, AMICI), KG</t>
  </si>
  <si>
    <t>PR0503</t>
  </si>
  <si>
    <t>PREMIX A2005-A (CHOCOLATE CUSTARD, AMICI), KG</t>
  </si>
  <si>
    <t>PR0504</t>
  </si>
  <si>
    <t>PREMIX A2005-B (CHOCOLATE CUSTARD, AMICI), KG</t>
  </si>
  <si>
    <t>PR0505</t>
  </si>
  <si>
    <t>PREMIX A1003-A (BROWNIES, AMICI), KG</t>
  </si>
  <si>
    <t>PR0506</t>
  </si>
  <si>
    <t>PREMIX A1003-B (BROWNIES, AMICI), KG</t>
  </si>
  <si>
    <t>PR0507</t>
  </si>
  <si>
    <t>PREMIX HS103 (LEMON PESTO AIOLI)</t>
  </si>
  <si>
    <t>PR0508</t>
  </si>
  <si>
    <t>PREMIX  HS104 (SAUSAGE TORTELINI)</t>
  </si>
  <si>
    <t>PR0509</t>
  </si>
  <si>
    <t>PREMIX HS105 (MANGO VINAIGRETTE)</t>
  </si>
  <si>
    <t>PR0510</t>
  </si>
  <si>
    <t>PREMIX HS106 (CAJUN AIOLI)</t>
  </si>
  <si>
    <t>PR0511</t>
  </si>
  <si>
    <t>PREMIX HS107 (SALSA VERDE  AIOLI)</t>
  </si>
  <si>
    <t>PR0512</t>
  </si>
  <si>
    <t>PREMIX PN003.1 (PASTA DOUGH), KG</t>
  </si>
  <si>
    <t>PR0513</t>
  </si>
  <si>
    <t>PREMIX C5003 (GELATO WHITE BASE), KG</t>
  </si>
  <si>
    <t>PR0514</t>
  </si>
  <si>
    <t>PREMIX C5004 (GELATO CHOCO BASE), KG</t>
  </si>
  <si>
    <t>PR0515</t>
  </si>
  <si>
    <t>PREMIX C2004 (PEACH SYRUP), KG</t>
  </si>
  <si>
    <t>PR0516</t>
  </si>
  <si>
    <t>PREMIX C5005 (PEACH MANGO CARAMEL GELATO, EP-WI), KG</t>
  </si>
  <si>
    <t>PR0517</t>
  </si>
  <si>
    <t>PREMIX C5006 (MALTESERS GELATO, EP-WI), KG</t>
  </si>
  <si>
    <t>FT0236</t>
  </si>
  <si>
    <t>WINE, CARPINETO DOGAJOLO 2020</t>
  </si>
  <si>
    <t>CM0161</t>
  </si>
  <si>
    <t>fs</t>
  </si>
  <si>
    <t>HOLIDAY LOYALTY CARD, C2S 180  Size : 3.3” X 4.24” (SPREAD SIZE</t>
  </si>
  <si>
    <t>FM1425</t>
  </si>
  <si>
    <t>fm</t>
  </si>
  <si>
    <t>MALTESERS GELATO, EP-WI, .800gm</t>
  </si>
  <si>
    <t>tub</t>
  </si>
  <si>
    <t>FM1427</t>
  </si>
  <si>
    <t>PEACH MANGO CARAMEL GELATO, EP-WI, 800gm</t>
  </si>
  <si>
    <t>FM1432</t>
  </si>
  <si>
    <t>AMICI SALTED CARAMEL GELATO, 2.5 KG/TR</t>
  </si>
  <si>
    <t>FT0235</t>
  </si>
  <si>
    <t xml:space="preserve">WINE, CARPINETO VALCOLOMBA VERMENTINO 2021 </t>
  </si>
  <si>
    <t>FT0237</t>
  </si>
  <si>
    <t>WINE, TORMARESCA NEPRICA PRIMITIVO 2022</t>
  </si>
  <si>
    <t>CM0160</t>
  </si>
  <si>
    <t xml:space="preserve">HEART VOID STICKER 0.65 X 0.55INCHES 2COLOR PRINT </t>
  </si>
  <si>
    <t>PM0245</t>
  </si>
  <si>
    <t>pm</t>
  </si>
  <si>
    <t xml:space="preserve">RIBBON, CE20 CREAM, FOR CHRISTMAS SIZE #5 22MM  </t>
  </si>
  <si>
    <t>FM1426</t>
  </si>
  <si>
    <t>MALTESERS GELATO, EP-WI, .400gm</t>
  </si>
  <si>
    <t>FT0243</t>
  </si>
  <si>
    <t>MARKETING, WOODEN EASLE STAND - PC</t>
  </si>
  <si>
    <t>wh/out</t>
  </si>
  <si>
    <t>vat</t>
  </si>
  <si>
    <t>Branch: LCT</t>
  </si>
  <si>
    <t>Superceeds Invoice NO: 6533</t>
  </si>
  <si>
    <t>Week: 5/1/2023</t>
  </si>
  <si>
    <t>WH/OUT/31015</t>
  </si>
  <si>
    <t>WH/OUT/31230</t>
  </si>
  <si>
    <t>DR Reference</t>
  </si>
  <si>
    <t>WH/OUT/31026</t>
  </si>
  <si>
    <t>WH/OUT/31196</t>
  </si>
  <si>
    <t>Posting Group</t>
  </si>
  <si>
    <t xml:space="preserve">Transfer Price </t>
  </si>
  <si>
    <t>CARA MIA SALES AND SERVICES INC.</t>
  </si>
  <si>
    <t>WH/OUT/31850, WH/OUT/31870, WH/OUT/31836, WH/OUT/32077</t>
  </si>
  <si>
    <t>Branch: FMM</t>
  </si>
  <si>
    <t>WH/OUT/31096, WH/OUT/31034</t>
  </si>
  <si>
    <t>WH/OUT/31544, WH/OUT/31512, WH/OUT/31538, WH/OUT/31398, WH/OUT/31492</t>
  </si>
  <si>
    <t>WH/OUT/31544, WH/OUT/31568, WH/OUT/31729, WH/OUT/31752, WH/OUT/31721</t>
  </si>
  <si>
    <t>WH/OUT/32202, WH/OUT/32086, WH/OUT/32121, WH/OUT/31568</t>
  </si>
  <si>
    <t>WH/OUT/32384, WH/OUT/32295, WH/OUT/32254, WH/OUT/32264, WH/OUT/32167, WH/OUT/32202, WH/OUT/32356</t>
  </si>
  <si>
    <t xml:space="preserve"> WH/OUT/32636, WH/OUT/32413, WH/OUT/32384</t>
  </si>
  <si>
    <t>WH/OUT/32774, WH/OUT/32795, WH/OUT/32636</t>
  </si>
  <si>
    <t>WH/OUT/33097, WH/OUT/33073, WH/OUT/32851, WH/OUT/32774</t>
  </si>
  <si>
    <t>WH/OUT/33211, WH/OUT/33073, WH/OUT/33097</t>
  </si>
  <si>
    <t>WH/OUT/33314, WH/IN/2592, WH/OUT/33244, WH/OUT/33211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</si>
</sst>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theme="1"/>
      <name val="Tahoma"/>
      <family val="2"/>
    </font>
    <font>
      <b/>
      <sz val="15"/>
      <color theme="1"/>
      <name val="Tahoma"/>
      <family val="2"/>
    </font>
    <font>
      <sz val="11"/>
      <color theme="1"/>
      <name val="Tahoma"/>
      <family val="2"/>
    </font>
    <font>
      <b/>
      <sz val="22"/>
      <color theme="1"/>
      <name val="Tahoma"/>
      <family val="2"/>
    </font>
    <font>
      <sz val="15"/>
      <color theme="0"/>
      <name val="Tahoma"/>
      <family val="2"/>
    </font>
    <font>
      <sz val="22"/>
      <color theme="1"/>
      <name val="Tahoma"/>
      <family val="2"/>
    </font>
    <font>
      <sz val="14"/>
      <color theme="1"/>
      <name val="Tahoma"/>
      <family val="2"/>
    </font>
    <font>
      <b/>
      <sz val="11"/>
      <color theme="0"/>
      <name val="Tahoma"/>
      <family val="2"/>
    </font>
    <font>
      <sz val="16"/>
      <color theme="1"/>
      <name val="Tahoma"/>
      <family val="2"/>
    </font>
    <font>
      <sz val="20"/>
      <color theme="1"/>
      <name val="Tahoma"/>
      <family val="2"/>
    </font>
    <font>
      <sz val="12"/>
      <color theme="1"/>
      <name val="Tahoma"/>
      <family val="2"/>
    </font>
    <font>
      <sz val="22"/>
      <color theme="0"/>
      <name val="Tahoma"/>
      <family val="2"/>
    </font>
    <font>
      <sz val="12"/>
      <color theme="0"/>
      <name val="Tahoma"/>
      <family val="2"/>
    </font>
    <font>
      <sz val="24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43" fontId="7" fillId="0" borderId="0" xfId="1" applyFont="1" applyBorder="1" applyAlignment="1">
      <alignment vertical="top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4" fontId="10" fillId="0" borderId="0" xfId="0" applyNumberFormat="1" applyFont="1" applyAlignment="1">
      <alignment horizontal="right"/>
    </xf>
    <xf numFmtId="43" fontId="10" fillId="0" borderId="0" xfId="1" applyFont="1" applyBorder="1" applyAlignment="1">
      <alignment vertical="top"/>
    </xf>
    <xf numFmtId="4" fontId="2" fillId="0" borderId="0" xfId="0" applyNumberFormat="1" applyFont="1" applyAlignment="1">
      <alignment horizontal="right"/>
    </xf>
    <xf numFmtId="43" fontId="2" fillId="0" borderId="0" xfId="1" applyFont="1" applyBorder="1" applyAlignment="1">
      <alignment vertical="top"/>
    </xf>
    <xf numFmtId="0" fontId="11" fillId="0" borderId="0" xfId="0" applyFont="1" applyAlignment="1">
      <alignment horizontal="right"/>
    </xf>
    <xf numFmtId="4" fontId="11" fillId="0" borderId="0" xfId="0" applyNumberFormat="1" applyFont="1" applyAlignment="1">
      <alignment horizontal="right"/>
    </xf>
    <xf numFmtId="43" fontId="11" fillId="0" borderId="0" xfId="1" applyFont="1" applyBorder="1" applyAlignment="1">
      <alignment vertical="top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43" fontId="7" fillId="0" borderId="0" xfId="0" applyNumberFormat="1" applyFont="1" applyAlignment="1">
      <alignment wrapText="1"/>
    </xf>
    <xf numFmtId="0" fontId="14" fillId="0" borderId="0" xfId="0" applyFont="1" applyAlignment="1">
      <alignment horizontal="center"/>
    </xf>
    <xf numFmtId="43" fontId="12" fillId="0" borderId="0" xfId="0" applyNumberFormat="1" applyFont="1"/>
    <xf numFmtId="0" fontId="13" fillId="0" borderId="0" xfId="0" applyFont="1" applyAlignment="1">
      <alignment horizontal="right"/>
    </xf>
    <xf numFmtId="0" fontId="7" fillId="0" borderId="0" xfId="0" applyFont="1" applyAlignment="1">
      <alignment wrapText="1"/>
    </xf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43" fontId="7" fillId="0" borderId="0" xfId="0" applyNumberFormat="1" applyFont="1" applyAlignment="1">
      <alignment horizontal="right"/>
    </xf>
    <xf numFmtId="43" fontId="7" fillId="0" borderId="0" xfId="0" applyNumberFormat="1" applyFont="1"/>
    <xf numFmtId="43" fontId="7" fillId="0" borderId="0" xfId="1" applyFont="1" applyBorder="1" applyAlignment="1"/>
    <xf numFmtId="0" fontId="0" fillId="2" borderId="0" xfId="0" applyFill="1"/>
    <xf numFmtId="43" fontId="0" fillId="0" borderId="0" xfId="0" applyNumberFormat="1"/>
    <xf numFmtId="43" fontId="15" fillId="0" borderId="0" xfId="0" applyNumberFormat="1" applyFont="1"/>
    <xf numFmtId="0" fontId="16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CE6F-406D-443B-A241-22F6CAF23AE1}">
  <sheetPr codeName="Sheet1">
    <pageSetUpPr fitToPage="1"/>
  </sheetPr>
  <dimension ref="A10:H86"/>
  <sheetViews>
    <sheetView view="pageBreakPreview" topLeftCell="A39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5271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3591</v>
      </c>
      <c r="B27" s="10" t="str">
        <f>VLOOKUP(A27,'ITEM LIST'!A:D,3,FALSE)</f>
        <v>MIDNIGHT DREAM CAKE, WHOLE, MINI</v>
      </c>
      <c r="C27" s="10"/>
      <c r="D27" s="10"/>
      <c r="E27" s="18">
        <v>4</v>
      </c>
      <c r="F27" s="18" t="str">
        <f>VLOOKUP(A27,'ITEM LIST'!A:D,4,FALSE)</f>
        <v>PC</v>
      </c>
      <c r="G27" s="19">
        <v>1303.75</v>
      </c>
      <c r="H27" s="20">
        <v>1460.2</v>
      </c>
    </row>
    <row r="28" spans="1:8" ht="27" x14ac:dyDescent="0.35">
      <c r="A28" s="17" t="s">
        <v>4019</v>
      </c>
      <c r="B28" s="10" t="str">
        <f>VLOOKUP(A28,'ITEM LIST'!A:D,3,FALSE)</f>
        <v>COFFEE CRUNCH,  70 G/PK, PK</v>
      </c>
      <c r="C28" s="10"/>
      <c r="D28" s="10"/>
      <c r="E28" s="18">
        <v>10</v>
      </c>
      <c r="F28" s="18" t="str">
        <f>VLOOKUP(A28,'ITEM LIST'!A:D,4,FALSE)</f>
        <v>PK</v>
      </c>
      <c r="G28" s="19">
        <v>119</v>
      </c>
      <c r="H28" s="20">
        <v>133.28</v>
      </c>
    </row>
    <row r="29" spans="1:8" ht="27" x14ac:dyDescent="0.35">
      <c r="A29" s="17" t="s">
        <v>3939</v>
      </c>
      <c r="B29" s="10" t="str">
        <f>VLOOKUP(A29,'ITEM LIST'!A:D,3,FALSE)</f>
        <v>SALTED CHOCOLATE SMORES CAKE, NEW, PC</v>
      </c>
      <c r="C29" s="10"/>
      <c r="D29" s="10"/>
      <c r="E29" s="18">
        <v>10</v>
      </c>
      <c r="F29" s="18" t="str">
        <f>VLOOKUP(A29,'ITEM LIST'!A:D,4,FALSE)</f>
        <v>PC</v>
      </c>
      <c r="G29" s="19">
        <v>4571.8749999999991</v>
      </c>
      <c r="H29" s="20">
        <v>5120.4999999999991</v>
      </c>
    </row>
    <row r="30" spans="1:8" ht="27" x14ac:dyDescent="0.35">
      <c r="A30" s="17" t="s">
        <v>3915</v>
      </c>
      <c r="B30" s="10" t="str">
        <f>VLOOKUP(A30,'ITEM LIST'!A:D,3,FALSE)</f>
        <v>MINI MANGO MAGNIFICO, PC</v>
      </c>
      <c r="C30" s="10"/>
      <c r="D30" s="10"/>
      <c r="E30" s="18">
        <v>4</v>
      </c>
      <c r="F30" s="18" t="str">
        <f>VLOOKUP(A30,'ITEM LIST'!A:D,4,FALSE)</f>
        <v>PC</v>
      </c>
      <c r="G30" s="19">
        <v>1303.75</v>
      </c>
      <c r="H30" s="20">
        <v>1460.2</v>
      </c>
    </row>
    <row r="31" spans="1:8" ht="27" x14ac:dyDescent="0.35">
      <c r="A31" s="17" t="s">
        <v>3702</v>
      </c>
      <c r="B31" s="10" t="str">
        <f>VLOOKUP(A31,'ITEM LIST'!A:D,3,FALSE)</f>
        <v>UBE CAKE, PC</v>
      </c>
      <c r="C31" s="10"/>
      <c r="D31" s="10"/>
      <c r="E31" s="18">
        <v>29</v>
      </c>
      <c r="F31" s="18" t="str">
        <f>VLOOKUP(A31,'ITEM LIST'!A:D,4,FALSE)</f>
        <v>PC</v>
      </c>
      <c r="G31" s="19">
        <v>13258.437499999998</v>
      </c>
      <c r="H31" s="20">
        <v>14849.449999999997</v>
      </c>
    </row>
    <row r="32" spans="1:8" ht="27" x14ac:dyDescent="0.35">
      <c r="A32" s="17" t="s">
        <v>3587</v>
      </c>
      <c r="B32" s="10" t="str">
        <f>VLOOKUP(A32,'ITEM LIST'!A:D,3,FALSE)</f>
        <v>CASHEW BRITTLE, 10 GRAMS PER PACK</v>
      </c>
      <c r="C32" s="10"/>
      <c r="D32" s="10"/>
      <c r="E32" s="18">
        <v>4</v>
      </c>
      <c r="F32" s="18" t="str">
        <f>VLOOKUP(A32,'ITEM LIST'!A:D,4,FALSE)</f>
        <v>PK</v>
      </c>
      <c r="G32" s="19">
        <v>14.023206896551724</v>
      </c>
      <c r="H32" s="20">
        <v>15.705991724137931</v>
      </c>
    </row>
    <row r="33" spans="1:8" ht="27" x14ac:dyDescent="0.35">
      <c r="A33" s="17" t="s">
        <v>3583</v>
      </c>
      <c r="B33" s="10" t="str">
        <f>VLOOKUP(A33,'ITEM LIST'!A:D,3,FALSE)</f>
        <v>STRAWBERRY CAKE, PIECE</v>
      </c>
      <c r="C33" s="10"/>
      <c r="D33" s="10"/>
      <c r="E33" s="18">
        <v>5</v>
      </c>
      <c r="F33" s="18" t="str">
        <f>VLOOKUP(A33,'ITEM LIST'!A:D,4,FALSE)</f>
        <v>PC</v>
      </c>
      <c r="G33" s="19">
        <v>3051.5624999999995</v>
      </c>
      <c r="H33" s="20">
        <v>3417.7499999999995</v>
      </c>
    </row>
    <row r="34" spans="1:8" ht="27" x14ac:dyDescent="0.35">
      <c r="A34" s="17" t="s">
        <v>3776</v>
      </c>
      <c r="B34" s="10" t="str">
        <f>VLOOKUP(A34,'ITEM LIST'!A:D,3,FALSE)</f>
        <v>STRAWBERRY, VACUUM PACKED, PK</v>
      </c>
      <c r="C34" s="10"/>
      <c r="D34" s="10"/>
      <c r="E34" s="18">
        <v>5</v>
      </c>
      <c r="F34" s="18" t="str">
        <f>VLOOKUP(A34,'ITEM LIST'!A:D,4,FALSE)</f>
        <v>PK</v>
      </c>
      <c r="G34" s="19">
        <v>528.86827941176466</v>
      </c>
      <c r="H34" s="20">
        <v>592.33247294117643</v>
      </c>
    </row>
    <row r="35" spans="1:8" ht="27" x14ac:dyDescent="0.35">
      <c r="A35" s="17" t="s">
        <v>2682</v>
      </c>
      <c r="B35" s="10" t="str">
        <f>VLOOKUP(A35,'ITEM LIST'!A:D,3,FALSE)</f>
        <v>SEA SALTED HONEY CRUNCH CAKE</v>
      </c>
      <c r="C35" s="10"/>
      <c r="D35" s="10"/>
      <c r="E35" s="18">
        <v>10</v>
      </c>
      <c r="F35" s="18" t="str">
        <f>VLOOKUP(A35,'ITEM LIST'!A:D,4,FALSE)</f>
        <v>PC</v>
      </c>
      <c r="G35" s="19">
        <v>3784.3749999999995</v>
      </c>
      <c r="H35" s="20">
        <v>4238.4999999999991</v>
      </c>
    </row>
    <row r="36" spans="1:8" ht="27" x14ac:dyDescent="0.35">
      <c r="A36" s="17" t="s">
        <v>3058</v>
      </c>
      <c r="B36" s="10" t="str">
        <f>VLOOKUP(A36,'ITEM LIST'!A:D,3,FALSE)</f>
        <v>SEA SALTED CRUNCH 140 GM</v>
      </c>
      <c r="C36" s="10"/>
      <c r="D36" s="10"/>
      <c r="E36" s="18">
        <v>10</v>
      </c>
      <c r="F36" s="18" t="str">
        <f>VLOOKUP(A36,'ITEM LIST'!A:D,4,FALSE)</f>
        <v>PK</v>
      </c>
      <c r="G36" s="19">
        <v>131.32999999999998</v>
      </c>
      <c r="H36" s="20">
        <v>147.08959999999999</v>
      </c>
    </row>
    <row r="37" spans="1:8" ht="27" x14ac:dyDescent="0.35">
      <c r="A37" s="17" t="s">
        <v>2294</v>
      </c>
      <c r="B37" s="10" t="str">
        <f>VLOOKUP(A37,'ITEM LIST'!A:D,3,FALSE)</f>
        <v>PIPING CHOCOLATE, 200G/PK</v>
      </c>
      <c r="C37" s="10"/>
      <c r="D37" s="10"/>
      <c r="E37" s="18">
        <v>3</v>
      </c>
      <c r="F37" s="18" t="str">
        <f>VLOOKUP(A37,'ITEM LIST'!A:D,4,FALSE)</f>
        <v>PK</v>
      </c>
      <c r="G37" s="19">
        <v>138.02782049999999</v>
      </c>
      <c r="H37" s="20">
        <v>154.59115895999997</v>
      </c>
    </row>
    <row r="38" spans="1:8" ht="27" x14ac:dyDescent="0.35">
      <c r="A38" s="17" t="s">
        <v>2296</v>
      </c>
      <c r="B38" s="10" t="str">
        <f>VLOOKUP(A38,'ITEM LIST'!A:D,3,FALSE)</f>
        <v>BLANK HAPPY BIRTHDAY LABEL, 24PCS/BX</v>
      </c>
      <c r="C38" s="10"/>
      <c r="D38" s="10"/>
      <c r="E38" s="18">
        <v>4</v>
      </c>
      <c r="F38" s="18" t="str">
        <f>VLOOKUP(A38,'ITEM LIST'!A:D,4,FALSE)</f>
        <v>BX</v>
      </c>
      <c r="G38" s="19">
        <v>621.98452800000007</v>
      </c>
      <c r="H38" s="20">
        <v>696.62267136000003</v>
      </c>
    </row>
    <row r="39" spans="1:8" ht="27" x14ac:dyDescent="0.35">
      <c r="A39" s="17" t="s">
        <v>2222</v>
      </c>
      <c r="B39" s="10" t="str">
        <f>VLOOKUP(A39,'ITEM LIST'!A:D,3,FALSE)</f>
        <v>NEW FERRERO, 2.5KG/TRAY</v>
      </c>
      <c r="C39" s="10"/>
      <c r="D39" s="10"/>
      <c r="E39" s="18">
        <v>1</v>
      </c>
      <c r="F39" s="18" t="str">
        <f>VLOOKUP(A39,'ITEM LIST'!A:D,4,FALSE)</f>
        <v>TR</v>
      </c>
      <c r="G39" s="19">
        <v>1312.4999999999998</v>
      </c>
      <c r="H39" s="20">
        <v>1469.9999999999998</v>
      </c>
    </row>
    <row r="40" spans="1:8" ht="27" x14ac:dyDescent="0.35">
      <c r="A40" s="17" t="s">
        <v>2234</v>
      </c>
      <c r="B40" s="10" t="str">
        <f>VLOOKUP(A40,'ITEM LIST'!A:D,3,FALSE)</f>
        <v>NEW PISTACHIO, 4.5KG/TRAY</v>
      </c>
      <c r="C40" s="10"/>
      <c r="D40" s="10"/>
      <c r="E40" s="18">
        <v>0.56000000000000005</v>
      </c>
      <c r="F40" s="18" t="str">
        <f>VLOOKUP(A40,'ITEM LIST'!A:D,4,FALSE)</f>
        <v>TR</v>
      </c>
      <c r="G40" s="19">
        <v>1323.0000000000002</v>
      </c>
      <c r="H40" s="20">
        <v>1481.7600000000002</v>
      </c>
    </row>
    <row r="41" spans="1:8" ht="27" x14ac:dyDescent="0.35">
      <c r="A41" s="17" t="s">
        <v>2460</v>
      </c>
      <c r="B41" s="10" t="str">
        <f>VLOOKUP(A41,'ITEM LIST'!A:D,3,FALSE)</f>
        <v>PISTACCHOCOLATO, WHOLE</v>
      </c>
      <c r="C41" s="10"/>
      <c r="D41" s="10"/>
      <c r="E41" s="18">
        <v>10</v>
      </c>
      <c r="F41" s="18" t="str">
        <f>VLOOKUP(A41,'ITEM LIST'!A:D,4,FALSE)</f>
        <v>PC</v>
      </c>
      <c r="G41" s="19">
        <v>4790.6249999999991</v>
      </c>
      <c r="H41" s="20">
        <v>5365.4999999999991</v>
      </c>
    </row>
    <row r="42" spans="1:8" ht="27" x14ac:dyDescent="0.35">
      <c r="A42" s="17" t="s">
        <v>2570</v>
      </c>
      <c r="B42" s="10" t="str">
        <f>VLOOKUP(A42,'ITEM LIST'!A:D,3,FALSE)</f>
        <v xml:space="preserve"> PISTACCHOCOLATO, CAKE MINI, PC </v>
      </c>
      <c r="C42" s="10"/>
      <c r="D42" s="10"/>
      <c r="E42" s="18">
        <v>4</v>
      </c>
      <c r="F42" s="18" t="str">
        <f>VLOOKUP(A42,'ITEM LIST'!A:D,4,FALSE)</f>
        <v>PC</v>
      </c>
      <c r="G42" s="19">
        <v>1391.25</v>
      </c>
      <c r="H42" s="20">
        <v>1558.2</v>
      </c>
    </row>
    <row r="43" spans="1:8" ht="27" x14ac:dyDescent="0.35">
      <c r="A43" s="17" t="s">
        <v>3772</v>
      </c>
      <c r="B43" s="10" t="str">
        <f>VLOOKUP(A43,'ITEM LIST'!A:D,3,FALSE)</f>
        <v>MINI UBE CAKE</v>
      </c>
      <c r="C43" s="10"/>
      <c r="D43" s="10"/>
      <c r="E43" s="18">
        <v>5</v>
      </c>
      <c r="F43" s="18" t="str">
        <f>VLOOKUP(A43,'ITEM LIST'!A:D,4,FALSE)</f>
        <v>PC</v>
      </c>
      <c r="G43" s="19">
        <v>1629.6875</v>
      </c>
      <c r="H43" s="20">
        <v>1825.25</v>
      </c>
    </row>
    <row r="44" spans="1:8" ht="27" x14ac:dyDescent="0.35">
      <c r="A44" s="17" t="s">
        <v>3798</v>
      </c>
      <c r="B44" s="10" t="str">
        <f>VLOOKUP(A44,'ITEM LIST'!A:D,3,FALSE)</f>
        <v>MANGO MAGNIFICO CAKE, WHOLE, NEW DESIGN</v>
      </c>
      <c r="C44" s="10"/>
      <c r="D44" s="10"/>
      <c r="E44" s="18">
        <v>10</v>
      </c>
      <c r="F44" s="18" t="str">
        <f>VLOOKUP(A44,'ITEM LIST'!A:D,4,FALSE)</f>
        <v>PC</v>
      </c>
      <c r="G44" s="19">
        <v>4571.8749999999991</v>
      </c>
      <c r="H44" s="20">
        <v>5120.4999999999991</v>
      </c>
    </row>
    <row r="45" spans="1:8" ht="27" x14ac:dyDescent="0.35">
      <c r="A45" s="17" t="s">
        <v>4021</v>
      </c>
      <c r="B45" s="10" t="str">
        <f>VLOOKUP(A45,'ITEM LIST'!A:D,3,FALSE)</f>
        <v>CHOCOLATE JAVA CAKE, PC</v>
      </c>
      <c r="C45" s="10"/>
      <c r="D45" s="10"/>
      <c r="E45" s="18">
        <v>10</v>
      </c>
      <c r="F45" s="18" t="str">
        <f>VLOOKUP(A45,'ITEM LIST'!A:D,4,FALSE)</f>
        <v>PC</v>
      </c>
      <c r="G45" s="19">
        <v>4353.1249999999991</v>
      </c>
      <c r="H45" s="20">
        <v>4875.4999999999991</v>
      </c>
    </row>
    <row r="46" spans="1:8" ht="27" x14ac:dyDescent="0.35">
      <c r="A46" s="17" t="s">
        <v>2762</v>
      </c>
      <c r="B46" s="10" t="str">
        <f>VLOOKUP(A46,'ITEM LIST'!A:D,3,FALSE)</f>
        <v>TURTLE PIE, 2.5KG/TRAY</v>
      </c>
      <c r="C46" s="10"/>
      <c r="D46" s="10"/>
      <c r="E46" s="18">
        <v>1</v>
      </c>
      <c r="F46" s="18" t="str">
        <f>VLOOKUP(A46,'ITEM LIST'!A:D,4,FALSE)</f>
        <v>TR</v>
      </c>
      <c r="G46" s="19">
        <v>1312.5</v>
      </c>
      <c r="H46" s="20">
        <v>1470</v>
      </c>
    </row>
    <row r="47" spans="1:8" ht="27" x14ac:dyDescent="0.35">
      <c r="A47" s="17" t="s">
        <v>3014</v>
      </c>
      <c r="B47" s="10" t="str">
        <f>VLOOKUP(A47,'ITEM LIST'!A:D,3,FALSE)</f>
        <v>STRAWBERRY GELATO, 2.5 KG TRAY</v>
      </c>
      <c r="C47" s="10"/>
      <c r="D47" s="10"/>
      <c r="E47" s="18">
        <v>1</v>
      </c>
      <c r="F47" s="18" t="str">
        <f>VLOOKUP(A47,'ITEM LIST'!A:D,4,FALSE)</f>
        <v>TR</v>
      </c>
      <c r="G47" s="19">
        <v>1312.5</v>
      </c>
      <c r="H47" s="20">
        <v>1470</v>
      </c>
    </row>
    <row r="48" spans="1:8" ht="27" x14ac:dyDescent="0.35">
      <c r="A48" s="17" t="s">
        <v>3030</v>
      </c>
      <c r="B48" s="10" t="str">
        <f>VLOOKUP(A48,'ITEM LIST'!A:D,3,FALSE)</f>
        <v>OREO COOKIES N' CREAM, 4.5KG./TRAY</v>
      </c>
      <c r="C48" s="10"/>
      <c r="D48" s="10"/>
      <c r="E48" s="18">
        <v>0.56000000000000005</v>
      </c>
      <c r="F48" s="18" t="str">
        <f>VLOOKUP(A48,'ITEM LIST'!A:D,4,FALSE)</f>
        <v>TR</v>
      </c>
      <c r="G48" s="19">
        <v>1323.0000000000002</v>
      </c>
      <c r="H48" s="20">
        <v>1481.7600000000002</v>
      </c>
    </row>
    <row r="49" spans="1:8" ht="27" x14ac:dyDescent="0.35">
      <c r="A49" s="17" t="s">
        <v>2628</v>
      </c>
      <c r="B49" s="10" t="str">
        <f>VLOOKUP(A49,'ITEM LIST'!A:D,3,FALSE)</f>
        <v>CASHEW BRITTLE, 15G/PK, PK</v>
      </c>
      <c r="C49" s="10"/>
      <c r="D49" s="10"/>
      <c r="E49" s="18">
        <v>12</v>
      </c>
      <c r="F49" s="18" t="str">
        <f>VLOOKUP(A49,'ITEM LIST'!A:D,4,FALSE)</f>
        <v>PK</v>
      </c>
      <c r="G49" s="19">
        <v>63.104431034482751</v>
      </c>
      <c r="H49" s="20">
        <v>70.676962758620675</v>
      </c>
    </row>
    <row r="50" spans="1:8" ht="27" x14ac:dyDescent="0.35">
      <c r="A50" s="17" t="s">
        <v>2626</v>
      </c>
      <c r="B50" s="10" t="str">
        <f>VLOOKUP(A50,'ITEM LIST'!A:D,3,FALSE)</f>
        <v>MIDNIGHT DREAM CAKE, PC</v>
      </c>
      <c r="C50" s="10"/>
      <c r="D50" s="10"/>
      <c r="E50" s="18">
        <v>12</v>
      </c>
      <c r="F50" s="18" t="str">
        <f>VLOOKUP(A50,'ITEM LIST'!A:D,4,FALSE)</f>
        <v>PC</v>
      </c>
      <c r="G50" s="19">
        <v>5591.25</v>
      </c>
      <c r="H50" s="20">
        <v>6262.2</v>
      </c>
    </row>
    <row r="51" spans="1:8" ht="27" x14ac:dyDescent="0.35">
      <c r="A51" s="17" t="s">
        <v>3064</v>
      </c>
      <c r="B51" s="10" t="str">
        <f>VLOOKUP(A51,'ITEM LIST'!A:D,3,FALSE)</f>
        <v>MANGO CREAM PIE 4.5 KG</v>
      </c>
      <c r="C51" s="10"/>
      <c r="D51" s="10"/>
      <c r="E51" s="18">
        <v>0.56000000000000005</v>
      </c>
      <c r="F51" s="18" t="str">
        <f>VLOOKUP(A51,'ITEM LIST'!A:D,4,FALSE)</f>
        <v>TR</v>
      </c>
      <c r="G51" s="19">
        <v>1188</v>
      </c>
      <c r="H51" s="20">
        <v>1330.56</v>
      </c>
    </row>
    <row r="52" spans="1:8" ht="27" x14ac:dyDescent="0.35">
      <c r="A52" s="17" t="s">
        <v>3020</v>
      </c>
      <c r="B52" s="10" t="str">
        <f>VLOOKUP(A52,'ITEM LIST'!A:D,3,FALSE)</f>
        <v>CHOCOLATE THERAPY GELATO, 4.5/TRAY</v>
      </c>
      <c r="C52" s="10"/>
      <c r="D52" s="10"/>
      <c r="E52" s="18">
        <v>0.56000000000000005</v>
      </c>
      <c r="F52" s="18" t="str">
        <f>VLOOKUP(A52,'ITEM LIST'!A:D,4,FALSE)</f>
        <v>TR</v>
      </c>
      <c r="G52" s="19">
        <v>1323.0000000000002</v>
      </c>
      <c r="H52" s="20">
        <v>1481.7600000000002</v>
      </c>
    </row>
    <row r="53" spans="1:8" ht="27" x14ac:dyDescent="0.35">
      <c r="A53" s="17" t="s">
        <v>3018</v>
      </c>
      <c r="B53" s="10" t="str">
        <f>VLOOKUP(A53,'ITEM LIST'!A:D,3,FALSE)</f>
        <v>BLUEBERRY CHEESECAKE GELATO, 4.5KG/TRAY</v>
      </c>
      <c r="C53" s="10"/>
      <c r="D53" s="10"/>
      <c r="E53" s="18">
        <v>0.56000000000000005</v>
      </c>
      <c r="F53" s="18" t="str">
        <f>VLOOKUP(A53,'ITEM LIST'!A:D,4,FALSE)</f>
        <v>TR</v>
      </c>
      <c r="G53" s="19">
        <v>1323.0000000000002</v>
      </c>
      <c r="H53" s="20">
        <v>1481.7600000000002</v>
      </c>
    </row>
    <row r="54" spans="1:8" ht="27" x14ac:dyDescent="0.35">
      <c r="A54" s="17" t="s">
        <v>2296</v>
      </c>
      <c r="B54" s="10" t="str">
        <f>VLOOKUP(A54,'ITEM LIST'!A:D,3,FALSE)</f>
        <v>BLANK HAPPY BIRTHDAY LABEL, 24PCS/BX</v>
      </c>
      <c r="C54" s="10"/>
      <c r="D54" s="10"/>
      <c r="E54" s="18">
        <v>4</v>
      </c>
      <c r="F54" s="18" t="str">
        <f>VLOOKUP(A54,'ITEM LIST'!A:D,4,FALSE)</f>
        <v>BX</v>
      </c>
      <c r="G54" s="19">
        <v>621.98452800000007</v>
      </c>
      <c r="H54" s="20">
        <v>696.62267136000003</v>
      </c>
    </row>
    <row r="55" spans="1:8" ht="27" x14ac:dyDescent="0.35">
      <c r="A55" s="17" t="s">
        <v>3014</v>
      </c>
      <c r="B55" s="10" t="str">
        <f>VLOOKUP(A55,'ITEM LIST'!A:D,3,FALSE)</f>
        <v>STRAWBERRY GELATO, 2.5 KG TRAY</v>
      </c>
      <c r="C55" s="10"/>
      <c r="D55" s="10"/>
      <c r="E55" s="18">
        <v>1</v>
      </c>
      <c r="F55" s="18" t="str">
        <f>VLOOKUP(A55,'ITEM LIST'!A:D,4,FALSE)</f>
        <v>TR</v>
      </c>
      <c r="G55" s="19">
        <v>1312.5</v>
      </c>
      <c r="H55" s="20">
        <v>1470</v>
      </c>
    </row>
    <row r="56" spans="1:8" ht="27" x14ac:dyDescent="0.35">
      <c r="A56" s="17" t="s">
        <v>2762</v>
      </c>
      <c r="B56" s="10" t="str">
        <f>VLOOKUP(A56,'ITEM LIST'!A:D,3,FALSE)</f>
        <v>TURTLE PIE, 2.5KG/TRAY</v>
      </c>
      <c r="C56" s="10"/>
      <c r="D56" s="10"/>
      <c r="E56" s="18">
        <v>1</v>
      </c>
      <c r="F56" s="18" t="str">
        <f>VLOOKUP(A56,'ITEM LIST'!A:D,4,FALSE)</f>
        <v>TR</v>
      </c>
      <c r="G56" s="19">
        <v>1312.5</v>
      </c>
      <c r="H56" s="20">
        <v>1470</v>
      </c>
    </row>
    <row r="57" spans="1:8" ht="27" x14ac:dyDescent="0.35">
      <c r="A57" s="17" t="s">
        <v>2574</v>
      </c>
      <c r="B57" s="10" t="str">
        <f>VLOOKUP(A57,'ITEM LIST'!A:D,3,FALSE)</f>
        <v>COOKIE DOUGH GELATO, 2.5/TRAY</v>
      </c>
      <c r="C57" s="10"/>
      <c r="D57" s="10"/>
      <c r="E57" s="18">
        <v>1</v>
      </c>
      <c r="F57" s="18" t="str">
        <f>VLOOKUP(A57,'ITEM LIST'!A:D,4,FALSE)</f>
        <v>TR</v>
      </c>
      <c r="G57" s="19">
        <v>1312.5</v>
      </c>
      <c r="H57" s="20">
        <v>1470</v>
      </c>
    </row>
    <row r="58" spans="1:8" ht="27" x14ac:dyDescent="0.35">
      <c r="A58" s="17" t="s">
        <v>3915</v>
      </c>
      <c r="B58" s="10" t="str">
        <f>VLOOKUP(A58,'ITEM LIST'!A:D,3,FALSE)</f>
        <v>MINI MANGO MAGNIFICO, PC</v>
      </c>
      <c r="C58" s="10"/>
      <c r="D58" s="10"/>
      <c r="E58" s="18">
        <v>4</v>
      </c>
      <c r="F58" s="18" t="str">
        <f>VLOOKUP(A58,'ITEM LIST'!A:D,4,FALSE)</f>
        <v>PC</v>
      </c>
      <c r="G58" s="19">
        <v>1303.75</v>
      </c>
      <c r="H58" s="20">
        <v>1460.2</v>
      </c>
    </row>
    <row r="59" spans="1:8" ht="27" x14ac:dyDescent="0.35">
      <c r="A59" s="17" t="s">
        <v>3798</v>
      </c>
      <c r="B59" s="10" t="str">
        <f>VLOOKUP(A59,'ITEM LIST'!A:D,3,FALSE)</f>
        <v>MANGO MAGNIFICO CAKE, WHOLE, NEW DESIGN</v>
      </c>
      <c r="C59" s="10"/>
      <c r="D59" s="10"/>
      <c r="E59" s="18">
        <v>10</v>
      </c>
      <c r="F59" s="18" t="str">
        <f>VLOOKUP(A59,'ITEM LIST'!A:D,4,FALSE)</f>
        <v>PC</v>
      </c>
      <c r="G59" s="19">
        <v>4571.8749999999991</v>
      </c>
      <c r="H59" s="20">
        <v>5120.4999999999991</v>
      </c>
    </row>
    <row r="60" spans="1:8" ht="27" x14ac:dyDescent="0.35">
      <c r="A60" s="17" t="s">
        <v>2628</v>
      </c>
      <c r="B60" s="10" t="str">
        <f>VLOOKUP(A60,'ITEM LIST'!A:D,3,FALSE)</f>
        <v>CASHEW BRITTLE, 15G/PK, PK</v>
      </c>
      <c r="C60" s="10"/>
      <c r="D60" s="10"/>
      <c r="E60" s="18">
        <v>6</v>
      </c>
      <c r="F60" s="18" t="str">
        <f>VLOOKUP(A60,'ITEM LIST'!A:D,4,FALSE)</f>
        <v>PK</v>
      </c>
      <c r="G60" s="19">
        <v>31.552215517241375</v>
      </c>
      <c r="H60" s="20">
        <v>35.338481379310338</v>
      </c>
    </row>
    <row r="61" spans="1:8" ht="27" x14ac:dyDescent="0.35">
      <c r="A61" s="17" t="s">
        <v>4019</v>
      </c>
      <c r="B61" s="10" t="str">
        <f>VLOOKUP(A61,'ITEM LIST'!A:D,3,FALSE)</f>
        <v>COFFEE CRUNCH,  70 G/PK, PK</v>
      </c>
      <c r="C61" s="10"/>
      <c r="D61" s="10"/>
      <c r="E61" s="18">
        <v>10</v>
      </c>
      <c r="F61" s="18" t="str">
        <f>VLOOKUP(A61,'ITEM LIST'!A:D,4,FALSE)</f>
        <v>PK</v>
      </c>
      <c r="G61" s="19">
        <v>119</v>
      </c>
      <c r="H61" s="20">
        <v>133.28</v>
      </c>
    </row>
    <row r="62" spans="1:8" ht="27" x14ac:dyDescent="0.35">
      <c r="A62" s="17" t="s">
        <v>4021</v>
      </c>
      <c r="B62" s="10" t="str">
        <f>VLOOKUP(A62,'ITEM LIST'!A:D,3,FALSE)</f>
        <v>CHOCOLATE JAVA CAKE, PC</v>
      </c>
      <c r="C62" s="10"/>
      <c r="D62" s="10"/>
      <c r="E62" s="18">
        <v>10</v>
      </c>
      <c r="F62" s="18" t="str">
        <f>VLOOKUP(A62,'ITEM LIST'!A:D,4,FALSE)</f>
        <v>PC</v>
      </c>
      <c r="G62" s="19">
        <v>4353.1249999999991</v>
      </c>
      <c r="H62" s="20">
        <v>4875.4999999999991</v>
      </c>
    </row>
    <row r="63" spans="1:8" ht="27" x14ac:dyDescent="0.35">
      <c r="A63" s="17" t="s">
        <v>2294</v>
      </c>
      <c r="B63" s="10" t="str">
        <f>VLOOKUP(A63,'ITEM LIST'!A:D,3,FALSE)</f>
        <v>PIPING CHOCOLATE, 200G/PK</v>
      </c>
      <c r="C63" s="10"/>
      <c r="D63" s="10"/>
      <c r="E63" s="18">
        <v>2</v>
      </c>
      <c r="F63" s="18" t="str">
        <f>VLOOKUP(A63,'ITEM LIST'!A:D,4,FALSE)</f>
        <v>PK</v>
      </c>
      <c r="G63" s="19">
        <v>92.018546999999998</v>
      </c>
      <c r="H63" s="20">
        <v>103.06077264</v>
      </c>
    </row>
    <row r="64" spans="1:8" ht="29.25" customHeight="1" x14ac:dyDescent="0.35">
      <c r="A64" s="17" t="s">
        <v>2570</v>
      </c>
      <c r="B64" s="10" t="str">
        <f>VLOOKUP(A64,'ITEM LIST'!A:D,3,FALSE)</f>
        <v xml:space="preserve"> PISTACCHOCOLATO, CAKE MINI, PC </v>
      </c>
      <c r="C64" s="10"/>
      <c r="D64" s="10"/>
      <c r="E64" s="18">
        <v>4</v>
      </c>
      <c r="F64" s="18" t="str">
        <f>VLOOKUP(A64,'ITEM LIST'!A:D,4,FALSE)</f>
        <v>PC</v>
      </c>
      <c r="G64" s="19">
        <v>1391.25</v>
      </c>
      <c r="H64" s="20">
        <v>1558.2</v>
      </c>
    </row>
    <row r="65" spans="1:8" ht="27" x14ac:dyDescent="0.35">
      <c r="A65" s="17" t="s">
        <v>2460</v>
      </c>
      <c r="B65" s="10" t="str">
        <f>VLOOKUP(A65,'ITEM LIST'!A:D,3,FALSE)</f>
        <v>PISTACCHOCOLATO, WHOLE</v>
      </c>
      <c r="C65" s="10"/>
      <c r="D65" s="10"/>
      <c r="E65" s="18">
        <v>5</v>
      </c>
      <c r="F65" s="18" t="str">
        <f>VLOOKUP(A65,'ITEM LIST'!A:D,4,FALSE)</f>
        <v>PC</v>
      </c>
      <c r="G65" s="19">
        <v>2395.3124999999995</v>
      </c>
      <c r="H65" s="20">
        <v>2682.7499999999995</v>
      </c>
    </row>
    <row r="66" spans="1:8" ht="24.75" customHeight="1" x14ac:dyDescent="0.35">
      <c r="A66" s="17" t="s">
        <v>2626</v>
      </c>
      <c r="B66" s="10" t="str">
        <f>VLOOKUP(A66,'ITEM LIST'!A:D,3,FALSE)</f>
        <v>MIDNIGHT DREAM CAKE, PC</v>
      </c>
      <c r="C66" s="10"/>
      <c r="D66" s="10"/>
      <c r="E66" s="18">
        <v>6</v>
      </c>
      <c r="F66" s="18" t="str">
        <f>VLOOKUP(A66,'ITEM LIST'!A:D,4,FALSE)</f>
        <v>PC</v>
      </c>
      <c r="G66" s="19">
        <v>2795.625</v>
      </c>
      <c r="H66" s="20">
        <v>3131.1</v>
      </c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93238.200783123233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9989.8072267632051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83248.393556360024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83248.393556360024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9989.8072267632051</v>
      </c>
      <c r="G83" s="38"/>
      <c r="H83" s="35">
        <f>F83</f>
        <v>9989.8072267632051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832.48393556360031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92405.716847559626</v>
      </c>
    </row>
    <row r="86" spans="1:8" ht="25.5" x14ac:dyDescent="0.35">
      <c r="E86" s="28"/>
      <c r="F86" s="28"/>
      <c r="G86" s="28"/>
      <c r="H86" s="31"/>
    </row>
  </sheetData>
  <mergeCells count="8">
    <mergeCell ref="F80:G80"/>
    <mergeCell ref="B72:B73"/>
    <mergeCell ref="B16:G16"/>
    <mergeCell ref="H20:H25"/>
    <mergeCell ref="B70:B71"/>
    <mergeCell ref="F75:G75"/>
    <mergeCell ref="F77:G77"/>
    <mergeCell ref="B74:B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3430-08C2-4236-8E3E-923942695600}">
  <sheetPr>
    <pageSetUpPr fitToPage="1"/>
  </sheetPr>
  <dimension ref="A10:H86"/>
  <sheetViews>
    <sheetView view="pageBreakPreview" topLeftCell="A41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5272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4019</v>
      </c>
      <c r="B27" s="10" t="str">
        <f>VLOOKUP(A27,'ITEM LIST'!A:D,3,FALSE)</f>
        <v>COFFEE CRUNCH,  70 G/PK, PK</v>
      </c>
      <c r="C27" s="10"/>
      <c r="D27" s="10"/>
      <c r="E27" s="18">
        <v>8</v>
      </c>
      <c r="F27" s="18" t="str">
        <f>VLOOKUP(A27,'ITEM LIST'!A:D,4,FALSE)</f>
        <v>PK</v>
      </c>
      <c r="G27" s="19">
        <v>95.2</v>
      </c>
      <c r="H27" s="20">
        <v>106.624</v>
      </c>
    </row>
    <row r="28" spans="1:8" ht="27" x14ac:dyDescent="0.35">
      <c r="A28" s="17" t="s">
        <v>3939</v>
      </c>
      <c r="B28" s="10" t="str">
        <f>VLOOKUP(A28,'ITEM LIST'!A:D,3,FALSE)</f>
        <v>SALTED CHOCOLATE SMORES CAKE, NEW, PC</v>
      </c>
      <c r="C28" s="10"/>
      <c r="D28" s="10"/>
      <c r="E28" s="18">
        <v>4</v>
      </c>
      <c r="F28" s="18" t="str">
        <f>VLOOKUP(A28,'ITEM LIST'!A:D,4,FALSE)</f>
        <v>PC</v>
      </c>
      <c r="G28" s="19">
        <v>1828.7499999999998</v>
      </c>
      <c r="H28" s="20">
        <v>2048.1999999999998</v>
      </c>
    </row>
    <row r="29" spans="1:8" ht="27" x14ac:dyDescent="0.35">
      <c r="A29" s="17" t="s">
        <v>3915</v>
      </c>
      <c r="B29" s="10" t="str">
        <f>VLOOKUP(A29,'ITEM LIST'!A:D,3,FALSE)</f>
        <v>MINI MANGO MAGNIFICO, PC</v>
      </c>
      <c r="C29" s="10"/>
      <c r="D29" s="10"/>
      <c r="E29" s="18">
        <v>4</v>
      </c>
      <c r="F29" s="18" t="str">
        <f>VLOOKUP(A29,'ITEM LIST'!A:D,4,FALSE)</f>
        <v>PC</v>
      </c>
      <c r="G29" s="19">
        <v>1303.75</v>
      </c>
      <c r="H29" s="20">
        <v>1460.2</v>
      </c>
    </row>
    <row r="30" spans="1:8" ht="27" x14ac:dyDescent="0.35">
      <c r="A30" s="17" t="s">
        <v>3798</v>
      </c>
      <c r="B30" s="10" t="str">
        <f>VLOOKUP(A30,'ITEM LIST'!A:D,3,FALSE)</f>
        <v>MANGO MAGNIFICO CAKE, WHOLE, NEW DESIGN</v>
      </c>
      <c r="C30" s="10"/>
      <c r="D30" s="10"/>
      <c r="E30" s="18">
        <v>8</v>
      </c>
      <c r="F30" s="18" t="str">
        <f>VLOOKUP(A30,'ITEM LIST'!A:D,4,FALSE)</f>
        <v>PC</v>
      </c>
      <c r="G30" s="19">
        <v>3657.4999999999995</v>
      </c>
      <c r="H30" s="20">
        <v>4096.3999999999996</v>
      </c>
    </row>
    <row r="31" spans="1:8" ht="27" x14ac:dyDescent="0.35">
      <c r="A31" s="17" t="s">
        <v>3058</v>
      </c>
      <c r="B31" s="10" t="str">
        <f>VLOOKUP(A31,'ITEM LIST'!A:D,3,FALSE)</f>
        <v>SEA SALTED CRUNCH 140 GM</v>
      </c>
      <c r="C31" s="10"/>
      <c r="D31" s="10"/>
      <c r="E31" s="18">
        <v>8</v>
      </c>
      <c r="F31" s="18" t="str">
        <f>VLOOKUP(A31,'ITEM LIST'!A:D,4,FALSE)</f>
        <v>PK</v>
      </c>
      <c r="G31" s="19">
        <v>105.06399999999999</v>
      </c>
      <c r="H31" s="20">
        <v>117.67167999999999</v>
      </c>
    </row>
    <row r="32" spans="1:8" ht="27" x14ac:dyDescent="0.35">
      <c r="A32" s="17" t="s">
        <v>2626</v>
      </c>
      <c r="B32" s="10" t="str">
        <f>VLOOKUP(A32,'ITEM LIST'!A:D,3,FALSE)</f>
        <v>MIDNIGHT DREAM CAKE, PC</v>
      </c>
      <c r="C32" s="10"/>
      <c r="D32" s="10"/>
      <c r="E32" s="18">
        <v>8</v>
      </c>
      <c r="F32" s="18" t="str">
        <f>VLOOKUP(A32,'ITEM LIST'!A:D,4,FALSE)</f>
        <v>PC</v>
      </c>
      <c r="G32" s="19">
        <v>3727.5</v>
      </c>
      <c r="H32" s="20">
        <v>4174.8</v>
      </c>
    </row>
    <row r="33" spans="1:8" ht="27" x14ac:dyDescent="0.35">
      <c r="A33" s="17" t="s">
        <v>722</v>
      </c>
      <c r="B33" s="10" t="str">
        <f>VLOOKUP(A33,'ITEM LIST'!A:D,3,FALSE)</f>
        <v>RIBBON,YELLOW,#5 CUT EDGE RIBBON, 50YARDS/RL, RL</v>
      </c>
      <c r="C33" s="10"/>
      <c r="D33" s="10"/>
      <c r="E33" s="18">
        <v>20</v>
      </c>
      <c r="F33" s="18" t="str">
        <f>VLOOKUP(A33,'ITEM LIST'!A:D,4,FALSE)</f>
        <v>RL</v>
      </c>
      <c r="G33" s="19">
        <v>1273.28</v>
      </c>
      <c r="H33" s="20">
        <v>1426.0735999999999</v>
      </c>
    </row>
    <row r="34" spans="1:8" ht="27" x14ac:dyDescent="0.35">
      <c r="A34" s="17" t="s">
        <v>858</v>
      </c>
      <c r="B34" s="10" t="str">
        <f>VLOOKUP(A34,'ITEM LIST'!A:D,3,FALSE)</f>
        <v>STICKER, CARAMIA HEART-SHAPE W/ PLASTIC LAM, 1.45”x1.75”</v>
      </c>
      <c r="C34" s="10"/>
      <c r="D34" s="10"/>
      <c r="E34" s="18">
        <v>504</v>
      </c>
      <c r="F34" s="18" t="str">
        <f>VLOOKUP(A34,'ITEM LIST'!A:D,4,FALSE)</f>
        <v>PC</v>
      </c>
      <c r="G34" s="19">
        <v>931.49999999999977</v>
      </c>
      <c r="H34" s="20">
        <v>1043.2799999999997</v>
      </c>
    </row>
    <row r="35" spans="1:8" ht="27" x14ac:dyDescent="0.35">
      <c r="A35" s="17" t="s">
        <v>838</v>
      </c>
      <c r="B35" s="10" t="str">
        <f>VLOOKUP(A35,'ITEM LIST'!A:D,3,FALSE)</f>
        <v>STICKER, GELATO PINT W/ PRINT, COLD ADHESION</v>
      </c>
      <c r="C35" s="10"/>
      <c r="D35" s="10"/>
      <c r="E35" s="18">
        <v>27</v>
      </c>
      <c r="F35" s="18" t="str">
        <f>VLOOKUP(A35,'ITEM LIST'!A:D,4,FALSE)</f>
        <v>SET</v>
      </c>
      <c r="G35" s="19">
        <v>263.37044699999996</v>
      </c>
      <c r="H35" s="20">
        <v>294.97490063999993</v>
      </c>
    </row>
    <row r="36" spans="1:8" ht="27" x14ac:dyDescent="0.35">
      <c r="A36" s="17" t="s">
        <v>834</v>
      </c>
      <c r="B36" s="10" t="str">
        <f>VLOOKUP(A36,'ITEM LIST'!A:D,3,FALSE)</f>
        <v>Plastic, Tub &amp; Lid, Gelato, Pint</v>
      </c>
      <c r="C36" s="10"/>
      <c r="D36" s="10"/>
      <c r="E36" s="18">
        <v>27</v>
      </c>
      <c r="F36" s="18" t="str">
        <f>VLOOKUP(A36,'ITEM LIST'!A:D,4,FALSE)</f>
        <v>SET</v>
      </c>
      <c r="G36" s="19">
        <v>291.24900000000002</v>
      </c>
      <c r="H36" s="20">
        <v>326.19888000000003</v>
      </c>
    </row>
    <row r="37" spans="1:8" ht="27" x14ac:dyDescent="0.35">
      <c r="A37" s="17" t="s">
        <v>802</v>
      </c>
      <c r="B37" s="10" t="str">
        <f>VLOOKUP(A37,'ITEM LIST'!A:D,3,FALSE)</f>
        <v>PAPER, BAG, KRAFT#2, CARAMIA, 70GSM</v>
      </c>
      <c r="C37" s="10"/>
      <c r="D37" s="10"/>
      <c r="E37" s="18">
        <v>80</v>
      </c>
      <c r="F37" s="18" t="str">
        <f>VLOOKUP(A37,'ITEM LIST'!A:D,4,FALSE)</f>
        <v>PC</v>
      </c>
      <c r="G37" s="19">
        <v>381.8</v>
      </c>
      <c r="H37" s="20">
        <v>427.61599999999999</v>
      </c>
    </row>
    <row r="38" spans="1:8" ht="27" x14ac:dyDescent="0.35">
      <c r="A38" s="17" t="s">
        <v>2274</v>
      </c>
      <c r="B38" s="10" t="str">
        <f>VLOOKUP(A38,'ITEM LIST'!A:D,3,FALSE)</f>
        <v>STRAWBERRY FROZEN, 150G / PACK</v>
      </c>
      <c r="C38" s="10"/>
      <c r="D38" s="10"/>
      <c r="E38" s="18">
        <v>5</v>
      </c>
      <c r="F38" s="18" t="str">
        <f>VLOOKUP(A38,'ITEM LIST'!A:D,4,FALSE)</f>
        <v>PK</v>
      </c>
      <c r="G38" s="19">
        <v>177.89999999999998</v>
      </c>
      <c r="H38" s="20">
        <v>199.24799999999996</v>
      </c>
    </row>
    <row r="39" spans="1:8" ht="27" x14ac:dyDescent="0.35">
      <c r="A39" s="17" t="s">
        <v>3939</v>
      </c>
      <c r="B39" s="10" t="str">
        <f>VLOOKUP(A39,'ITEM LIST'!A:D,3,FALSE)</f>
        <v>SALTED CHOCOLATE SMORES CAKE, NEW, PC</v>
      </c>
      <c r="C39" s="10"/>
      <c r="D39" s="10"/>
      <c r="E39" s="18">
        <v>8</v>
      </c>
      <c r="F39" s="18" t="str">
        <f>VLOOKUP(A39,'ITEM LIST'!A:D,4,FALSE)</f>
        <v>PC</v>
      </c>
      <c r="G39" s="19">
        <v>3657.4999999999995</v>
      </c>
      <c r="H39" s="20">
        <v>4096.3999999999996</v>
      </c>
    </row>
    <row r="40" spans="1:8" ht="27" x14ac:dyDescent="0.35">
      <c r="A40" s="17" t="s">
        <v>3915</v>
      </c>
      <c r="B40" s="10" t="str">
        <f>VLOOKUP(A40,'ITEM LIST'!A:D,3,FALSE)</f>
        <v>MINI MANGO MAGNIFICO, PC</v>
      </c>
      <c r="C40" s="10"/>
      <c r="D40" s="10"/>
      <c r="E40" s="18">
        <v>3</v>
      </c>
      <c r="F40" s="18" t="str">
        <f>VLOOKUP(A40,'ITEM LIST'!A:D,4,FALSE)</f>
        <v>PC</v>
      </c>
      <c r="G40" s="19">
        <v>977.8125</v>
      </c>
      <c r="H40" s="20">
        <v>1095.1500000000001</v>
      </c>
    </row>
    <row r="41" spans="1:8" ht="27" x14ac:dyDescent="0.35">
      <c r="A41" s="17" t="s">
        <v>3798</v>
      </c>
      <c r="B41" s="10" t="str">
        <f>VLOOKUP(A41,'ITEM LIST'!A:D,3,FALSE)</f>
        <v>MANGO MAGNIFICO CAKE, WHOLE, NEW DESIGN</v>
      </c>
      <c r="C41" s="10"/>
      <c r="D41" s="10"/>
      <c r="E41" s="18">
        <v>8</v>
      </c>
      <c r="F41" s="18" t="str">
        <f>VLOOKUP(A41,'ITEM LIST'!A:D,4,FALSE)</f>
        <v>PC</v>
      </c>
      <c r="G41" s="19">
        <v>3657.4999999999995</v>
      </c>
      <c r="H41" s="20">
        <v>4096.3999999999996</v>
      </c>
    </row>
    <row r="42" spans="1:8" ht="27" x14ac:dyDescent="0.35">
      <c r="A42" s="17" t="s">
        <v>3772</v>
      </c>
      <c r="B42" s="10" t="str">
        <f>VLOOKUP(A42,'ITEM LIST'!A:D,3,FALSE)</f>
        <v>MINI UBE CAKE</v>
      </c>
      <c r="C42" s="10"/>
      <c r="D42" s="10"/>
      <c r="E42" s="18">
        <v>4</v>
      </c>
      <c r="F42" s="18" t="str">
        <f>VLOOKUP(A42,'ITEM LIST'!A:D,4,FALSE)</f>
        <v>PC</v>
      </c>
      <c r="G42" s="19">
        <v>1303.75</v>
      </c>
      <c r="H42" s="20">
        <v>1460.2</v>
      </c>
    </row>
    <row r="43" spans="1:8" ht="27" x14ac:dyDescent="0.35">
      <c r="A43" s="17" t="s">
        <v>3702</v>
      </c>
      <c r="B43" s="10" t="str">
        <f>VLOOKUP(A43,'ITEM LIST'!A:D,3,FALSE)</f>
        <v>UBE CAKE, PC</v>
      </c>
      <c r="C43" s="10"/>
      <c r="D43" s="10"/>
      <c r="E43" s="18">
        <v>18</v>
      </c>
      <c r="F43" s="18" t="str">
        <f>VLOOKUP(A43,'ITEM LIST'!A:D,4,FALSE)</f>
        <v>PC</v>
      </c>
      <c r="G43" s="19">
        <v>8229.3749999999982</v>
      </c>
      <c r="H43" s="20">
        <v>9216.8999999999978</v>
      </c>
    </row>
    <row r="44" spans="1:8" ht="27" x14ac:dyDescent="0.35">
      <c r="A44" s="17" t="s">
        <v>3591</v>
      </c>
      <c r="B44" s="10" t="str">
        <f>VLOOKUP(A44,'ITEM LIST'!A:D,3,FALSE)</f>
        <v>MIDNIGHT DREAM CAKE, WHOLE, MINI</v>
      </c>
      <c r="C44" s="10"/>
      <c r="D44" s="10"/>
      <c r="E44" s="18">
        <v>4</v>
      </c>
      <c r="F44" s="18" t="str">
        <f>VLOOKUP(A44,'ITEM LIST'!A:D,4,FALSE)</f>
        <v>PC</v>
      </c>
      <c r="G44" s="19">
        <v>1303.75</v>
      </c>
      <c r="H44" s="20">
        <v>1460.2</v>
      </c>
    </row>
    <row r="45" spans="1:8" ht="27" x14ac:dyDescent="0.35">
      <c r="A45" s="17" t="s">
        <v>2628</v>
      </c>
      <c r="B45" s="10" t="str">
        <f>VLOOKUP(A45,'ITEM LIST'!A:D,3,FALSE)</f>
        <v>CASHEW BRITTLE, 15G/PK, PK</v>
      </c>
      <c r="C45" s="10"/>
      <c r="D45" s="10"/>
      <c r="E45" s="18">
        <v>10</v>
      </c>
      <c r="F45" s="18" t="str">
        <f>VLOOKUP(A45,'ITEM LIST'!A:D,4,FALSE)</f>
        <v>PK</v>
      </c>
      <c r="G45" s="19">
        <v>52.587025862068955</v>
      </c>
      <c r="H45" s="20">
        <v>58.897468965517227</v>
      </c>
    </row>
    <row r="46" spans="1:8" ht="27" x14ac:dyDescent="0.35">
      <c r="A46" s="17" t="s">
        <v>2460</v>
      </c>
      <c r="B46" s="10" t="str">
        <f>VLOOKUP(A46,'ITEM LIST'!A:D,3,FALSE)</f>
        <v>PISTACCHOCOLATO, WHOLE</v>
      </c>
      <c r="C46" s="10"/>
      <c r="D46" s="10"/>
      <c r="E46" s="18">
        <v>8</v>
      </c>
      <c r="F46" s="18" t="str">
        <f>VLOOKUP(A46,'ITEM LIST'!A:D,4,FALSE)</f>
        <v>PC</v>
      </c>
      <c r="G46" s="19">
        <v>3832.4999999999991</v>
      </c>
      <c r="H46" s="20">
        <v>4292.3999999999987</v>
      </c>
    </row>
    <row r="47" spans="1:8" ht="27" x14ac:dyDescent="0.35">
      <c r="A47" s="17" t="s">
        <v>3030</v>
      </c>
      <c r="B47" s="10" t="str">
        <f>VLOOKUP(A47,'ITEM LIST'!A:D,3,FALSE)</f>
        <v>OREO COOKIES N' CREAM, 4.5KG./TRAY</v>
      </c>
      <c r="C47" s="10"/>
      <c r="D47" s="10"/>
      <c r="E47" s="18">
        <v>0.56000000000000005</v>
      </c>
      <c r="F47" s="18" t="str">
        <f>VLOOKUP(A47,'ITEM LIST'!A:D,4,FALSE)</f>
        <v>TR</v>
      </c>
      <c r="G47" s="19">
        <v>1323.0000000000002</v>
      </c>
      <c r="H47" s="20">
        <v>1481.7600000000002</v>
      </c>
    </row>
    <row r="48" spans="1:8" ht="27" x14ac:dyDescent="0.35">
      <c r="A48" s="17" t="s">
        <v>3014</v>
      </c>
      <c r="B48" s="10" t="str">
        <f>VLOOKUP(A48,'ITEM LIST'!A:D,3,FALSE)</f>
        <v>STRAWBERRY GELATO, 2.5 KG TRAY</v>
      </c>
      <c r="C48" s="10"/>
      <c r="D48" s="10"/>
      <c r="E48" s="18">
        <v>1</v>
      </c>
      <c r="F48" s="18" t="str">
        <f>VLOOKUP(A48,'ITEM LIST'!A:D,4,FALSE)</f>
        <v>TR</v>
      </c>
      <c r="G48" s="19">
        <v>1312.5</v>
      </c>
      <c r="H48" s="20">
        <v>1470</v>
      </c>
    </row>
    <row r="49" spans="1:8" ht="27" x14ac:dyDescent="0.35">
      <c r="A49" s="17" t="s">
        <v>3776</v>
      </c>
      <c r="B49" s="10" t="str">
        <f>VLOOKUP(A49,'ITEM LIST'!A:D,3,FALSE)</f>
        <v>STRAWBERRY, VACUUM PACKED, PK</v>
      </c>
      <c r="C49" s="10"/>
      <c r="D49" s="10"/>
      <c r="E49" s="18">
        <v>3</v>
      </c>
      <c r="F49" s="18" t="str">
        <f>VLOOKUP(A49,'ITEM LIST'!A:D,4,FALSE)</f>
        <v>PK</v>
      </c>
      <c r="G49" s="19">
        <v>317.32096764705875</v>
      </c>
      <c r="H49" s="20">
        <v>355.39948376470579</v>
      </c>
    </row>
    <row r="50" spans="1:8" ht="27" x14ac:dyDescent="0.35">
      <c r="A50" s="17" t="s">
        <v>3583</v>
      </c>
      <c r="B50" s="10" t="str">
        <f>VLOOKUP(A50,'ITEM LIST'!A:D,3,FALSE)</f>
        <v>STRAWBERRY CAKE, PIECE</v>
      </c>
      <c r="C50" s="10"/>
      <c r="D50" s="10"/>
      <c r="E50" s="18">
        <v>3</v>
      </c>
      <c r="F50" s="18" t="str">
        <f>VLOOKUP(A50,'ITEM LIST'!A:D,4,FALSE)</f>
        <v>PC</v>
      </c>
      <c r="G50" s="19">
        <v>1830.9374999999995</v>
      </c>
      <c r="H50" s="20">
        <v>2050.6499999999996</v>
      </c>
    </row>
    <row r="51" spans="1:8" ht="27" x14ac:dyDescent="0.35">
      <c r="A51" s="17" t="s">
        <v>3058</v>
      </c>
      <c r="B51" s="10" t="str">
        <f>VLOOKUP(A51,'ITEM LIST'!A:D,3,FALSE)</f>
        <v>SEA SALTED CRUNCH 140 GM</v>
      </c>
      <c r="C51" s="10"/>
      <c r="D51" s="10"/>
      <c r="E51" s="18">
        <v>8</v>
      </c>
      <c r="F51" s="18" t="str">
        <f>VLOOKUP(A51,'ITEM LIST'!A:D,4,FALSE)</f>
        <v>PK</v>
      </c>
      <c r="G51" s="19">
        <v>105.06399999999999</v>
      </c>
      <c r="H51" s="20">
        <v>117.67167999999999</v>
      </c>
    </row>
    <row r="52" spans="1:8" ht="27" x14ac:dyDescent="0.35">
      <c r="A52" s="17" t="s">
        <v>2682</v>
      </c>
      <c r="B52" s="10" t="str">
        <f>VLOOKUP(A52,'ITEM LIST'!A:D,3,FALSE)</f>
        <v>SEA SALTED HONEY CRUNCH CAKE</v>
      </c>
      <c r="C52" s="10"/>
      <c r="D52" s="10"/>
      <c r="E52" s="18">
        <v>8</v>
      </c>
      <c r="F52" s="18" t="str">
        <f>VLOOKUP(A52,'ITEM LIST'!A:D,4,FALSE)</f>
        <v>PC</v>
      </c>
      <c r="G52" s="19">
        <v>3027.4999999999995</v>
      </c>
      <c r="H52" s="20">
        <v>3390.7999999999993</v>
      </c>
    </row>
    <row r="53" spans="1:8" ht="27" x14ac:dyDescent="0.35">
      <c r="A53" s="17" t="s">
        <v>2762</v>
      </c>
      <c r="B53" s="10" t="str">
        <f>VLOOKUP(A53,'ITEM LIST'!A:D,3,FALSE)</f>
        <v>TURTLE PIE, 2.5KG/TRAY</v>
      </c>
      <c r="C53" s="10"/>
      <c r="D53" s="10"/>
      <c r="E53" s="18">
        <v>1</v>
      </c>
      <c r="F53" s="18" t="str">
        <f>VLOOKUP(A53,'ITEM LIST'!A:D,4,FALSE)</f>
        <v>TR</v>
      </c>
      <c r="G53" s="19">
        <v>1312.5</v>
      </c>
      <c r="H53" s="20">
        <v>1470</v>
      </c>
    </row>
    <row r="54" spans="1:8" ht="27" x14ac:dyDescent="0.35">
      <c r="A54" s="17" t="s">
        <v>4019</v>
      </c>
      <c r="B54" s="10" t="str">
        <f>VLOOKUP(A54,'ITEM LIST'!A:D,3,FALSE)</f>
        <v>COFFEE CRUNCH,  70 G/PK, PK</v>
      </c>
      <c r="C54" s="10"/>
      <c r="D54" s="10"/>
      <c r="E54" s="18">
        <v>8</v>
      </c>
      <c r="F54" s="18" t="str">
        <f>VLOOKUP(A54,'ITEM LIST'!A:D,4,FALSE)</f>
        <v>PK</v>
      </c>
      <c r="G54" s="19">
        <v>95.2</v>
      </c>
      <c r="H54" s="20">
        <v>106.624</v>
      </c>
    </row>
    <row r="55" spans="1:8" ht="27" x14ac:dyDescent="0.35">
      <c r="A55" s="17" t="s">
        <v>2222</v>
      </c>
      <c r="B55" s="10" t="str">
        <f>VLOOKUP(A55,'ITEM LIST'!A:D,3,FALSE)</f>
        <v>NEW FERRERO, 2.5KG/TRAY</v>
      </c>
      <c r="C55" s="10"/>
      <c r="D55" s="10"/>
      <c r="E55" s="18">
        <v>1</v>
      </c>
      <c r="F55" s="18" t="str">
        <f>VLOOKUP(A55,'ITEM LIST'!A:D,4,FALSE)</f>
        <v>TR</v>
      </c>
      <c r="G55" s="19">
        <v>1312.4999999999998</v>
      </c>
      <c r="H55" s="20">
        <v>1469.9999999999998</v>
      </c>
    </row>
    <row r="56" spans="1:8" ht="27" x14ac:dyDescent="0.35">
      <c r="A56" s="17" t="s">
        <v>4021</v>
      </c>
      <c r="B56" s="10" t="str">
        <f>VLOOKUP(A56,'ITEM LIST'!A:D,3,FALSE)</f>
        <v>CHOCOLATE JAVA CAKE, PC</v>
      </c>
      <c r="C56" s="10"/>
      <c r="D56" s="10"/>
      <c r="E56" s="18">
        <v>8</v>
      </c>
      <c r="F56" s="18" t="str">
        <f>VLOOKUP(A56,'ITEM LIST'!A:D,4,FALSE)</f>
        <v>PC</v>
      </c>
      <c r="G56" s="19">
        <v>3482.4999999999995</v>
      </c>
      <c r="H56" s="20">
        <v>3900.3999999999996</v>
      </c>
    </row>
    <row r="57" spans="1:8" ht="27" x14ac:dyDescent="0.35">
      <c r="A57" s="17" t="s">
        <v>3587</v>
      </c>
      <c r="B57" s="10" t="str">
        <f>VLOOKUP(A57,'ITEM LIST'!A:D,3,FALSE)</f>
        <v>CASHEW BRITTLE, 10 GRAMS PER PACK</v>
      </c>
      <c r="C57" s="10"/>
      <c r="D57" s="10"/>
      <c r="E57" s="18">
        <v>4</v>
      </c>
      <c r="F57" s="18" t="str">
        <f>VLOOKUP(A57,'ITEM LIST'!A:D,4,FALSE)</f>
        <v>PK</v>
      </c>
      <c r="G57" s="19">
        <v>14.023206896551724</v>
      </c>
      <c r="H57" s="20">
        <v>15.705991724137931</v>
      </c>
    </row>
    <row r="58" spans="1:8" ht="27" x14ac:dyDescent="0.35">
      <c r="A58" s="17" t="s">
        <v>2626</v>
      </c>
      <c r="B58" s="10" t="str">
        <f>VLOOKUP(A58,'ITEM LIST'!A:D,3,FALSE)</f>
        <v>MIDNIGHT DREAM CAKE, PC</v>
      </c>
      <c r="C58" s="10"/>
      <c r="D58" s="10"/>
      <c r="E58" s="18">
        <v>10</v>
      </c>
      <c r="F58" s="18" t="str">
        <f>VLOOKUP(A58,'ITEM LIST'!A:D,4,FALSE)</f>
        <v>PC</v>
      </c>
      <c r="G58" s="19">
        <v>4659.375</v>
      </c>
      <c r="H58" s="20">
        <v>5218.5</v>
      </c>
    </row>
    <row r="59" spans="1:8" ht="27" x14ac:dyDescent="0.35">
      <c r="A59" s="17" t="s">
        <v>2570</v>
      </c>
      <c r="B59" s="10" t="str">
        <f>VLOOKUP(A59,'ITEM LIST'!A:D,3,FALSE)</f>
        <v xml:space="preserve"> PISTACCHOCOLATO, CAKE MINI, PC </v>
      </c>
      <c r="C59" s="10"/>
      <c r="D59" s="10"/>
      <c r="E59" s="18">
        <v>3</v>
      </c>
      <c r="F59" s="18" t="str">
        <f>VLOOKUP(A59,'ITEM LIST'!A:D,4,FALSE)</f>
        <v>PC</v>
      </c>
      <c r="G59" s="19">
        <v>1043.4375</v>
      </c>
      <c r="H59" s="20">
        <v>1168.6500000000001</v>
      </c>
    </row>
    <row r="60" spans="1:8" ht="27" x14ac:dyDescent="0.35">
      <c r="A60" s="17" t="s">
        <v>2296</v>
      </c>
      <c r="B60" s="10" t="str">
        <f>VLOOKUP(A60,'ITEM LIST'!A:D,3,FALSE)</f>
        <v>BLANK HAPPY BIRTHDAY LABEL, 24PCS/BX</v>
      </c>
      <c r="C60" s="10"/>
      <c r="D60" s="10"/>
      <c r="E60" s="18">
        <v>2</v>
      </c>
      <c r="F60" s="18" t="str">
        <f>VLOOKUP(A60,'ITEM LIST'!A:D,4,FALSE)</f>
        <v>BX</v>
      </c>
      <c r="G60" s="19">
        <v>310.99226400000003</v>
      </c>
      <c r="H60" s="20">
        <v>348.31133568000001</v>
      </c>
    </row>
    <row r="61" spans="1:8" ht="27" x14ac:dyDescent="0.35">
      <c r="A61" s="17" t="s">
        <v>2574</v>
      </c>
      <c r="B61" s="10" t="str">
        <f>VLOOKUP(A61,'ITEM LIST'!A:D,3,FALSE)</f>
        <v>COOKIE DOUGH GELATO, 2.5/TRAY</v>
      </c>
      <c r="C61" s="10"/>
      <c r="D61" s="10"/>
      <c r="E61" s="18">
        <v>1</v>
      </c>
      <c r="F61" s="18" t="str">
        <f>VLOOKUP(A61,'ITEM LIST'!A:D,4,FALSE)</f>
        <v>TR</v>
      </c>
      <c r="G61" s="19">
        <v>1312.5</v>
      </c>
      <c r="H61" s="20">
        <v>1470</v>
      </c>
    </row>
    <row r="62" spans="1:8" ht="27" x14ac:dyDescent="0.35">
      <c r="A62" s="17" t="s">
        <v>2294</v>
      </c>
      <c r="B62" s="10" t="str">
        <f>VLOOKUP(A62,'ITEM LIST'!A:D,3,FALSE)</f>
        <v>PIPING CHOCOLATE, 200G/PK</v>
      </c>
      <c r="C62" s="10"/>
      <c r="D62" s="10"/>
      <c r="E62" s="18">
        <v>2</v>
      </c>
      <c r="F62" s="18" t="str">
        <f>VLOOKUP(A62,'ITEM LIST'!A:D,4,FALSE)</f>
        <v>PK</v>
      </c>
      <c r="G62" s="19">
        <v>92.018546999999998</v>
      </c>
      <c r="H62" s="20">
        <v>103.06077264</v>
      </c>
    </row>
    <row r="63" spans="1:8" ht="27" x14ac:dyDescent="0.35">
      <c r="A63" s="17" t="s">
        <v>119</v>
      </c>
      <c r="B63" s="10" t="str">
        <f>VLOOKUP(A63,'ITEM LIST'!A:D,3,FALSE)</f>
        <v>BAG, BROWN BAG#3, 4.5=L X 3=W X 8.5=H, PC</v>
      </c>
      <c r="C63" s="10"/>
      <c r="D63" s="10"/>
      <c r="E63" s="18">
        <v>25</v>
      </c>
      <c r="F63" s="18" t="str">
        <f>VLOOKUP(A63,'ITEM LIST'!A:D,4,FALSE)</f>
        <v>PC</v>
      </c>
      <c r="G63" s="19">
        <v>12.321428571428568</v>
      </c>
      <c r="H63" s="20">
        <v>13.799999999999995</v>
      </c>
    </row>
    <row r="64" spans="1:8" ht="29.25" customHeight="1" x14ac:dyDescent="0.35">
      <c r="A64" s="17" t="s">
        <v>94</v>
      </c>
      <c r="B64" s="10" t="str">
        <f>VLOOKUP(A64,'ITEM LIST'!A:D,3,FALSE)</f>
        <v>NAPKIN, TABLE,WHT, BEST CHOICE, 5PK/CS</v>
      </c>
      <c r="C64" s="10"/>
      <c r="D64" s="10"/>
      <c r="E64" s="18">
        <v>2</v>
      </c>
      <c r="F64" s="18" t="str">
        <f>VLOOKUP(A64,'ITEM LIST'!A:D,4,FALSE)</f>
        <v>PK</v>
      </c>
      <c r="G64" s="19">
        <v>102.67857142857142</v>
      </c>
      <c r="H64" s="20">
        <v>114.99999999999999</v>
      </c>
    </row>
    <row r="65" spans="1:8" ht="27" x14ac:dyDescent="0.35">
      <c r="A65" s="17" t="s">
        <v>61</v>
      </c>
      <c r="B65" s="10" t="str">
        <f>VLOOKUP(A65,'ITEM LIST'!A:D,3,FALSE)</f>
        <v>CLEANING, YELLOW SCRUB SPONGE, 2 in 1, 3in x 3.75in</v>
      </c>
      <c r="C65" s="10"/>
      <c r="D65" s="10"/>
      <c r="E65" s="18">
        <v>2</v>
      </c>
      <c r="F65" s="18" t="str">
        <f>VLOOKUP(A65,'ITEM LIST'!A:D,4,FALSE)</f>
        <v>PC</v>
      </c>
      <c r="G65" s="19">
        <v>65.986999999999995</v>
      </c>
      <c r="H65" s="20">
        <v>73.905439999999999</v>
      </c>
    </row>
    <row r="66" spans="1:8" ht="24.75" customHeight="1" x14ac:dyDescent="0.35">
      <c r="A66" s="17" t="s">
        <v>977</v>
      </c>
      <c r="B66" s="10" t="str">
        <f>VLOOKUP(A66,'ITEM LIST'!A:D,3,FALSE)</f>
        <v>BISCUIT COOKIES, VANILLA, 12/274GM, KG</v>
      </c>
      <c r="C66" s="10"/>
      <c r="D66" s="10"/>
      <c r="E66" s="18">
        <v>0.23899999999999999</v>
      </c>
      <c r="F66" s="18" t="str">
        <f>VLOOKUP(A66,'ITEM LIST'!A:D,4,FALSE)</f>
        <v>KG</v>
      </c>
      <c r="G66" s="19">
        <v>79.124534999999995</v>
      </c>
      <c r="H66" s="20">
        <v>88.619479200000001</v>
      </c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65926.692712614371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7063.57421920868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58863.118493405695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58863.118493405695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7063.57421920868</v>
      </c>
      <c r="G83" s="38"/>
      <c r="H83" s="35">
        <f>F83</f>
        <v>7063.57421920868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588.63118493405693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65338.061527680315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3E4F-DB8D-4FE6-A6E5-500F0E89FE44}">
  <sheetPr>
    <pageSetUpPr fitToPage="1"/>
  </sheetPr>
  <dimension ref="A10:H86"/>
  <sheetViews>
    <sheetView view="pageBreakPreview" topLeftCell="A40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5273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53</v>
      </c>
      <c r="B27" s="10" t="str">
        <f>VLOOKUP(A27,'ITEM LIST'!A:D,3,FALSE)</f>
        <v>CLEANING, LIQUID HAND SOAP,10 X 500ML/CS, L</v>
      </c>
      <c r="C27" s="10"/>
      <c r="D27" s="10"/>
      <c r="E27" s="18">
        <v>3.78</v>
      </c>
      <c r="F27" s="18" t="str">
        <f>VLOOKUP(A27,'ITEM LIST'!A:D,4,FALSE)</f>
        <v>LT</v>
      </c>
      <c r="G27" s="19">
        <v>307.63718999999998</v>
      </c>
      <c r="H27" s="20">
        <v>344.55365279999995</v>
      </c>
    </row>
    <row r="28" spans="1:8" ht="27" x14ac:dyDescent="0.35">
      <c r="A28" s="17" t="s">
        <v>2292</v>
      </c>
      <c r="B28" s="10" t="str">
        <f>VLOOKUP(A28,'ITEM LIST'!A:D,3,FALSE)</f>
        <v>HAPPY BIRTHDAY LABEL, 24PCS/BOX</v>
      </c>
      <c r="C28" s="10"/>
      <c r="D28" s="10"/>
      <c r="E28" s="18">
        <v>2</v>
      </c>
      <c r="F28" s="18" t="str">
        <f>VLOOKUP(A28,'ITEM LIST'!A:D,4,FALSE)</f>
        <v>BX</v>
      </c>
      <c r="G28" s="19">
        <v>326.42121600000002</v>
      </c>
      <c r="H28" s="20">
        <v>365.59176192000001</v>
      </c>
    </row>
    <row r="29" spans="1:8" ht="27" x14ac:dyDescent="0.35">
      <c r="A29" s="17" t="s">
        <v>4021</v>
      </c>
      <c r="B29" s="10" t="str">
        <f>VLOOKUP(A29,'ITEM LIST'!A:D,3,FALSE)</f>
        <v>CHOCOLATE JAVA CAKE, PC</v>
      </c>
      <c r="C29" s="10"/>
      <c r="D29" s="10"/>
      <c r="E29" s="18">
        <v>15</v>
      </c>
      <c r="F29" s="18" t="str">
        <f>VLOOKUP(A29,'ITEM LIST'!A:D,4,FALSE)</f>
        <v>PC</v>
      </c>
      <c r="G29" s="19">
        <v>6529.6874999999991</v>
      </c>
      <c r="H29" s="20">
        <v>7313.2499999999991</v>
      </c>
    </row>
    <row r="30" spans="1:8" ht="27" x14ac:dyDescent="0.35">
      <c r="A30" s="17" t="s">
        <v>3939</v>
      </c>
      <c r="B30" s="10" t="str">
        <f>VLOOKUP(A30,'ITEM LIST'!A:D,3,FALSE)</f>
        <v>SALTED CHOCOLATE SMORES CAKE, NEW, PC</v>
      </c>
      <c r="C30" s="10"/>
      <c r="D30" s="10"/>
      <c r="E30" s="18">
        <v>15</v>
      </c>
      <c r="F30" s="18" t="str">
        <f>VLOOKUP(A30,'ITEM LIST'!A:D,4,FALSE)</f>
        <v>PC</v>
      </c>
      <c r="G30" s="19">
        <v>6857.8124999999991</v>
      </c>
      <c r="H30" s="20">
        <v>7680.7499999999991</v>
      </c>
    </row>
    <row r="31" spans="1:8" ht="27" x14ac:dyDescent="0.35">
      <c r="A31" s="17" t="s">
        <v>3798</v>
      </c>
      <c r="B31" s="10" t="str">
        <f>VLOOKUP(A31,'ITEM LIST'!A:D,3,FALSE)</f>
        <v>MANGO MAGNIFICO CAKE, WHOLE, NEW DESIGN</v>
      </c>
      <c r="C31" s="10"/>
      <c r="D31" s="10"/>
      <c r="E31" s="18">
        <v>18</v>
      </c>
      <c r="F31" s="18" t="str">
        <f>VLOOKUP(A31,'ITEM LIST'!A:D,4,FALSE)</f>
        <v>PC</v>
      </c>
      <c r="G31" s="19">
        <v>8229.3749999999982</v>
      </c>
      <c r="H31" s="20">
        <v>9216.8999999999978</v>
      </c>
    </row>
    <row r="32" spans="1:8" ht="27" x14ac:dyDescent="0.35">
      <c r="A32" s="17" t="s">
        <v>3702</v>
      </c>
      <c r="B32" s="10" t="str">
        <f>VLOOKUP(A32,'ITEM LIST'!A:D,3,FALSE)</f>
        <v>UBE CAKE, PC</v>
      </c>
      <c r="C32" s="10"/>
      <c r="D32" s="10"/>
      <c r="E32" s="18">
        <v>35</v>
      </c>
      <c r="F32" s="18" t="str">
        <f>VLOOKUP(A32,'ITEM LIST'!A:D,4,FALSE)</f>
        <v>PC</v>
      </c>
      <c r="G32" s="19">
        <v>16001.562499999998</v>
      </c>
      <c r="H32" s="20">
        <v>17921.749999999996</v>
      </c>
    </row>
    <row r="33" spans="1:8" ht="27" x14ac:dyDescent="0.35">
      <c r="A33" s="17" t="s">
        <v>3776</v>
      </c>
      <c r="B33" s="10" t="str">
        <f>VLOOKUP(A33,'ITEM LIST'!A:D,3,FALSE)</f>
        <v>STRAWBERRY, VACUUM PACKED, PK</v>
      </c>
      <c r="C33" s="10"/>
      <c r="D33" s="10"/>
      <c r="E33" s="18">
        <v>4</v>
      </c>
      <c r="F33" s="18" t="str">
        <f>VLOOKUP(A33,'ITEM LIST'!A:D,4,FALSE)</f>
        <v>PK</v>
      </c>
      <c r="G33" s="19">
        <v>423.09462352941171</v>
      </c>
      <c r="H33" s="20">
        <v>473.86597835294111</v>
      </c>
    </row>
    <row r="34" spans="1:8" ht="27" x14ac:dyDescent="0.35">
      <c r="A34" s="17" t="s">
        <v>3583</v>
      </c>
      <c r="B34" s="10" t="str">
        <f>VLOOKUP(A34,'ITEM LIST'!A:D,3,FALSE)</f>
        <v>STRAWBERRY CAKE, PIECE</v>
      </c>
      <c r="C34" s="10"/>
      <c r="D34" s="10"/>
      <c r="E34" s="18">
        <v>4</v>
      </c>
      <c r="F34" s="18" t="str">
        <f>VLOOKUP(A34,'ITEM LIST'!A:D,4,FALSE)</f>
        <v>PC</v>
      </c>
      <c r="G34" s="19">
        <v>2441.2499999999995</v>
      </c>
      <c r="H34" s="20">
        <v>2734.1999999999994</v>
      </c>
    </row>
    <row r="35" spans="1:8" ht="27" x14ac:dyDescent="0.35">
      <c r="A35" s="17" t="s">
        <v>3058</v>
      </c>
      <c r="B35" s="10" t="str">
        <f>VLOOKUP(A35,'ITEM LIST'!A:D,3,FALSE)</f>
        <v>SEA SALTED CRUNCH 140 GM</v>
      </c>
      <c r="C35" s="10"/>
      <c r="D35" s="10"/>
      <c r="E35" s="18">
        <v>15</v>
      </c>
      <c r="F35" s="18" t="str">
        <f>VLOOKUP(A35,'ITEM LIST'!A:D,4,FALSE)</f>
        <v>PK</v>
      </c>
      <c r="G35" s="19">
        <v>196.99499999999998</v>
      </c>
      <c r="H35" s="20">
        <v>220.63439999999997</v>
      </c>
    </row>
    <row r="36" spans="1:8" ht="27" x14ac:dyDescent="0.35">
      <c r="A36" s="17" t="s">
        <v>2682</v>
      </c>
      <c r="B36" s="10" t="str">
        <f>VLOOKUP(A36,'ITEM LIST'!A:D,3,FALSE)</f>
        <v>SEA SALTED HONEY CRUNCH CAKE</v>
      </c>
      <c r="C36" s="10"/>
      <c r="D36" s="10"/>
      <c r="E36" s="18">
        <v>15</v>
      </c>
      <c r="F36" s="18" t="str">
        <f>VLOOKUP(A36,'ITEM LIST'!A:D,4,FALSE)</f>
        <v>PC</v>
      </c>
      <c r="G36" s="19">
        <v>5676.5624999999991</v>
      </c>
      <c r="H36" s="20">
        <v>6357.7499999999991</v>
      </c>
    </row>
    <row r="37" spans="1:8" ht="27" x14ac:dyDescent="0.35">
      <c r="A37" s="17" t="s">
        <v>2628</v>
      </c>
      <c r="B37" s="10" t="str">
        <f>VLOOKUP(A37,'ITEM LIST'!A:D,3,FALSE)</f>
        <v>CASHEW BRITTLE, 15G/PK, PK</v>
      </c>
      <c r="C37" s="10"/>
      <c r="D37" s="10"/>
      <c r="E37" s="18">
        <v>16</v>
      </c>
      <c r="F37" s="18" t="str">
        <f>VLOOKUP(A37,'ITEM LIST'!A:D,4,FALSE)</f>
        <v>PK</v>
      </c>
      <c r="G37" s="19">
        <v>84.139241379310334</v>
      </c>
      <c r="H37" s="20">
        <v>94.235950344827572</v>
      </c>
    </row>
    <row r="38" spans="1:8" ht="27" x14ac:dyDescent="0.35">
      <c r="A38" s="17" t="s">
        <v>2626</v>
      </c>
      <c r="B38" s="10" t="str">
        <f>VLOOKUP(A38,'ITEM LIST'!A:D,3,FALSE)</f>
        <v>MIDNIGHT DREAM CAKE, PC</v>
      </c>
      <c r="C38" s="10"/>
      <c r="D38" s="10"/>
      <c r="E38" s="18">
        <v>16</v>
      </c>
      <c r="F38" s="18" t="str">
        <f>VLOOKUP(A38,'ITEM LIST'!A:D,4,FALSE)</f>
        <v>PC</v>
      </c>
      <c r="G38" s="19">
        <v>7455</v>
      </c>
      <c r="H38" s="20">
        <v>8349.6</v>
      </c>
    </row>
    <row r="39" spans="1:8" ht="27" x14ac:dyDescent="0.35">
      <c r="A39" s="17" t="s">
        <v>2460</v>
      </c>
      <c r="B39" s="10" t="str">
        <f>VLOOKUP(A39,'ITEM LIST'!A:D,3,FALSE)</f>
        <v>PISTACCHOCOLATO, WHOLE</v>
      </c>
      <c r="C39" s="10"/>
      <c r="D39" s="10"/>
      <c r="E39" s="18">
        <v>12</v>
      </c>
      <c r="F39" s="18" t="str">
        <f>VLOOKUP(A39,'ITEM LIST'!A:D,4,FALSE)</f>
        <v>PC</v>
      </c>
      <c r="G39" s="19">
        <v>5748.7499999999982</v>
      </c>
      <c r="H39" s="20">
        <v>6438.5999999999976</v>
      </c>
    </row>
    <row r="40" spans="1:8" ht="27" x14ac:dyDescent="0.35">
      <c r="A40" s="17" t="s">
        <v>3780</v>
      </c>
      <c r="B40" s="10" t="str">
        <f>VLOOKUP(A40,'ITEM LIST'!A:D,3,FALSE)</f>
        <v>RED GLAZE, 100G/PK</v>
      </c>
      <c r="C40" s="10"/>
      <c r="D40" s="10"/>
      <c r="E40" s="18">
        <v>1</v>
      </c>
      <c r="F40" s="18" t="str">
        <f>VLOOKUP(A40,'ITEM LIST'!A:D,4,FALSE)</f>
        <v>PK</v>
      </c>
      <c r="G40" s="19">
        <v>23.470076838733426</v>
      </c>
      <c r="H40" s="20">
        <v>26.286486059381438</v>
      </c>
    </row>
    <row r="41" spans="1:8" ht="27" x14ac:dyDescent="0.35">
      <c r="A41" s="17" t="s">
        <v>2296</v>
      </c>
      <c r="B41" s="10" t="str">
        <f>VLOOKUP(A41,'ITEM LIST'!A:D,3,FALSE)</f>
        <v>BLANK HAPPY BIRTHDAY LABEL, 24PCS/BX</v>
      </c>
      <c r="C41" s="10"/>
      <c r="D41" s="10"/>
      <c r="E41" s="18">
        <v>12</v>
      </c>
      <c r="F41" s="18" t="str">
        <f>VLOOKUP(A41,'ITEM LIST'!A:D,4,FALSE)</f>
        <v>BX</v>
      </c>
      <c r="G41" s="19">
        <v>1865.9535840000003</v>
      </c>
      <c r="H41" s="20">
        <v>2089.8680140800002</v>
      </c>
    </row>
    <row r="42" spans="1:8" ht="27" x14ac:dyDescent="0.35">
      <c r="A42" s="17" t="s">
        <v>2294</v>
      </c>
      <c r="B42" s="10" t="str">
        <f>VLOOKUP(A42,'ITEM LIST'!A:D,3,FALSE)</f>
        <v>PIPING CHOCOLATE, 200G/PK</v>
      </c>
      <c r="C42" s="10"/>
      <c r="D42" s="10"/>
      <c r="E42" s="18">
        <v>9</v>
      </c>
      <c r="F42" s="18" t="str">
        <f>VLOOKUP(A42,'ITEM LIST'!A:D,4,FALSE)</f>
        <v>PK</v>
      </c>
      <c r="G42" s="19">
        <v>414.0834615</v>
      </c>
      <c r="H42" s="20">
        <v>463.77347687999998</v>
      </c>
    </row>
    <row r="43" spans="1:8" ht="27" x14ac:dyDescent="0.35">
      <c r="A43" s="17" t="s">
        <v>2274</v>
      </c>
      <c r="B43" s="10" t="str">
        <f>VLOOKUP(A43,'ITEM LIST'!A:D,3,FALSE)</f>
        <v>STRAWBERRY FROZEN, 150G / PACK</v>
      </c>
      <c r="C43" s="10"/>
      <c r="D43" s="10"/>
      <c r="E43" s="18">
        <v>1</v>
      </c>
      <c r="F43" s="18" t="str">
        <f>VLOOKUP(A43,'ITEM LIST'!A:D,4,FALSE)</f>
        <v>PK</v>
      </c>
      <c r="G43" s="19">
        <v>35.58</v>
      </c>
      <c r="H43" s="20">
        <v>39.849599999999995</v>
      </c>
    </row>
    <row r="44" spans="1:8" ht="27" x14ac:dyDescent="0.35">
      <c r="A44" s="17" t="s">
        <v>4019</v>
      </c>
      <c r="B44" s="10" t="str">
        <f>VLOOKUP(A44,'ITEM LIST'!A:D,3,FALSE)</f>
        <v>COFFEE CRUNCH,  70 G/PK, PK</v>
      </c>
      <c r="C44" s="10"/>
      <c r="D44" s="10"/>
      <c r="E44" s="18">
        <v>15</v>
      </c>
      <c r="F44" s="18" t="str">
        <f>VLOOKUP(A44,'ITEM LIST'!A:D,4,FALSE)</f>
        <v>PK</v>
      </c>
      <c r="G44" s="19">
        <v>178.5</v>
      </c>
      <c r="H44" s="20">
        <v>199.92</v>
      </c>
    </row>
    <row r="45" spans="1:8" ht="27" x14ac:dyDescent="0.35">
      <c r="A45" s="17" t="s">
        <v>2762</v>
      </c>
      <c r="B45" s="10" t="str">
        <f>VLOOKUP(A45,'ITEM LIST'!A:D,3,FALSE)</f>
        <v>TURTLE PIE, 2.5KG/TRAY</v>
      </c>
      <c r="C45" s="10"/>
      <c r="D45" s="10"/>
      <c r="E45" s="18">
        <v>1</v>
      </c>
      <c r="F45" s="18" t="str">
        <f>VLOOKUP(A45,'ITEM LIST'!A:D,4,FALSE)</f>
        <v>TR</v>
      </c>
      <c r="G45" s="19">
        <v>1312.5</v>
      </c>
      <c r="H45" s="20">
        <v>1470</v>
      </c>
    </row>
    <row r="46" spans="1:8" ht="27" x14ac:dyDescent="0.35">
      <c r="A46" s="17" t="s">
        <v>2574</v>
      </c>
      <c r="B46" s="10" t="str">
        <f>VLOOKUP(A46,'ITEM LIST'!A:D,3,FALSE)</f>
        <v>COOKIE DOUGH GELATO, 2.5/TRAY</v>
      </c>
      <c r="C46" s="10"/>
      <c r="D46" s="10"/>
      <c r="E46" s="18">
        <v>1</v>
      </c>
      <c r="F46" s="18" t="str">
        <f>VLOOKUP(A46,'ITEM LIST'!A:D,4,FALSE)</f>
        <v>TR</v>
      </c>
      <c r="G46" s="19">
        <v>1312.5</v>
      </c>
      <c r="H46" s="20">
        <v>1470</v>
      </c>
    </row>
    <row r="47" spans="1:8" ht="27" x14ac:dyDescent="0.35">
      <c r="A47" s="17" t="s">
        <v>2234</v>
      </c>
      <c r="B47" s="10" t="str">
        <f>VLOOKUP(A47,'ITEM LIST'!A:D,3,FALSE)</f>
        <v>NEW PISTACHIO, 4.5KG/TRAY</v>
      </c>
      <c r="C47" s="10"/>
      <c r="D47" s="10"/>
      <c r="E47" s="18">
        <v>0.56000000000000005</v>
      </c>
      <c r="F47" s="18" t="str">
        <f>VLOOKUP(A47,'ITEM LIST'!A:D,4,FALSE)</f>
        <v>TR</v>
      </c>
      <c r="G47" s="19">
        <v>1323.0000000000002</v>
      </c>
      <c r="H47" s="20">
        <v>1481.7600000000002</v>
      </c>
    </row>
    <row r="48" spans="1:8" ht="27" x14ac:dyDescent="0.35">
      <c r="A48" s="17" t="s">
        <v>2224</v>
      </c>
      <c r="B48" s="10" t="str">
        <f>VLOOKUP(A48,'ITEM LIST'!A:D,3,FALSE)</f>
        <v>NEW MINT, 2.5KG/TRAY</v>
      </c>
      <c r="C48" s="10"/>
      <c r="D48" s="10"/>
      <c r="E48" s="18">
        <v>1</v>
      </c>
      <c r="F48" s="18" t="str">
        <f>VLOOKUP(A48,'ITEM LIST'!A:D,4,FALSE)</f>
        <v>TR</v>
      </c>
      <c r="G48" s="19">
        <v>1312.4999999999998</v>
      </c>
      <c r="H48" s="20">
        <v>1469.9999999999998</v>
      </c>
    </row>
    <row r="49" spans="1:8" ht="27" x14ac:dyDescent="0.35">
      <c r="A49" s="17" t="s">
        <v>2222</v>
      </c>
      <c r="B49" s="10" t="str">
        <f>VLOOKUP(A49,'ITEM LIST'!A:D,3,FALSE)</f>
        <v>NEW FERRERO, 2.5KG/TRAY</v>
      </c>
      <c r="C49" s="10"/>
      <c r="D49" s="10"/>
      <c r="E49" s="18">
        <v>1</v>
      </c>
      <c r="F49" s="18" t="str">
        <f>VLOOKUP(A49,'ITEM LIST'!A:D,4,FALSE)</f>
        <v>TR</v>
      </c>
      <c r="G49" s="19">
        <v>1312.4999999999998</v>
      </c>
      <c r="H49" s="20">
        <v>1469.9999999999998</v>
      </c>
    </row>
    <row r="50" spans="1:8" ht="27" x14ac:dyDescent="0.35">
      <c r="A50" s="17" t="s">
        <v>3064</v>
      </c>
      <c r="B50" s="10" t="str">
        <f>VLOOKUP(A50,'ITEM LIST'!A:D,3,FALSE)</f>
        <v>MANGO CREAM PIE 4.5 KG</v>
      </c>
      <c r="C50" s="10"/>
      <c r="D50" s="10"/>
      <c r="E50" s="18">
        <v>0.56000000000000005</v>
      </c>
      <c r="F50" s="18" t="str">
        <f>VLOOKUP(A50,'ITEM LIST'!A:D,4,FALSE)</f>
        <v>TR</v>
      </c>
      <c r="G50" s="19">
        <v>1188</v>
      </c>
      <c r="H50" s="20">
        <v>1330.56</v>
      </c>
    </row>
    <row r="51" spans="1:8" ht="27" x14ac:dyDescent="0.35">
      <c r="A51" s="17" t="s">
        <v>3030</v>
      </c>
      <c r="B51" s="10" t="str">
        <f>VLOOKUP(A51,'ITEM LIST'!A:D,3,FALSE)</f>
        <v>OREO COOKIES N' CREAM, 4.5KG./TRAY</v>
      </c>
      <c r="C51" s="10"/>
      <c r="D51" s="10"/>
      <c r="E51" s="18">
        <v>0.56000000000000005</v>
      </c>
      <c r="F51" s="18" t="str">
        <f>VLOOKUP(A51,'ITEM LIST'!A:D,4,FALSE)</f>
        <v>TR</v>
      </c>
      <c r="G51" s="19">
        <v>1323.0000000000002</v>
      </c>
      <c r="H51" s="20">
        <v>1481.7600000000002</v>
      </c>
    </row>
    <row r="52" spans="1:8" ht="27" x14ac:dyDescent="0.35">
      <c r="A52" s="17" t="s">
        <v>3018</v>
      </c>
      <c r="B52" s="10" t="str">
        <f>VLOOKUP(A52,'ITEM LIST'!A:D,3,FALSE)</f>
        <v>BLUEBERRY CHEESECAKE GELATO, 4.5KG/TRAY</v>
      </c>
      <c r="C52" s="10"/>
      <c r="D52" s="10"/>
      <c r="E52" s="18">
        <v>0.56000000000000005</v>
      </c>
      <c r="F52" s="18" t="str">
        <f>VLOOKUP(A52,'ITEM LIST'!A:D,4,FALSE)</f>
        <v>TR</v>
      </c>
      <c r="G52" s="19">
        <v>1323.0000000000002</v>
      </c>
      <c r="H52" s="20">
        <v>1481.7600000000002</v>
      </c>
    </row>
    <row r="53" spans="1:8" ht="27" x14ac:dyDescent="0.35">
      <c r="A53" s="17" t="s">
        <v>3020</v>
      </c>
      <c r="B53" s="10" t="str">
        <f>VLOOKUP(A53,'ITEM LIST'!A:D,3,FALSE)</f>
        <v>CHOCOLATE THERAPY GELATO, 4.5/TRAY</v>
      </c>
      <c r="C53" s="10"/>
      <c r="D53" s="10"/>
      <c r="E53" s="18">
        <v>0.56000000000000005</v>
      </c>
      <c r="F53" s="18" t="str">
        <f>VLOOKUP(A53,'ITEM LIST'!A:D,4,FALSE)</f>
        <v>TR</v>
      </c>
      <c r="G53" s="19">
        <v>1323.0000000000002</v>
      </c>
      <c r="H53" s="20">
        <v>1481.7600000000002</v>
      </c>
    </row>
    <row r="54" spans="1:8" ht="27" x14ac:dyDescent="0.35">
      <c r="A54" s="17" t="s">
        <v>3014</v>
      </c>
      <c r="B54" s="10" t="str">
        <f>VLOOKUP(A54,'ITEM LIST'!A:D,3,FALSE)</f>
        <v>STRAWBERRY GELATO, 2.5 KG TRAY</v>
      </c>
      <c r="C54" s="10"/>
      <c r="D54" s="10"/>
      <c r="E54" s="18">
        <v>1</v>
      </c>
      <c r="F54" s="18" t="str">
        <f>VLOOKUP(A54,'ITEM LIST'!A:D,4,FALSE)</f>
        <v>TR</v>
      </c>
      <c r="G54" s="19">
        <v>1312.5</v>
      </c>
      <c r="H54" s="20">
        <v>1470</v>
      </c>
    </row>
    <row r="55" spans="1:8" ht="27" x14ac:dyDescent="0.35">
      <c r="A55" s="17" t="s">
        <v>119</v>
      </c>
      <c r="B55" s="10" t="str">
        <f>VLOOKUP(A55,'ITEM LIST'!A:D,3,FALSE)</f>
        <v>BAG, BROWN BAG#3, 4.5=L X 3=W X 8.5=H, PC</v>
      </c>
      <c r="C55" s="10"/>
      <c r="D55" s="10"/>
      <c r="E55" s="18">
        <v>100</v>
      </c>
      <c r="F55" s="18" t="str">
        <f>VLOOKUP(A55,'ITEM LIST'!A:D,4,FALSE)</f>
        <v>PC</v>
      </c>
      <c r="G55" s="19">
        <v>49.28571428571427</v>
      </c>
      <c r="H55" s="20">
        <v>55.199999999999982</v>
      </c>
    </row>
    <row r="56" spans="1:8" ht="27" x14ac:dyDescent="0.35">
      <c r="A56" s="17" t="s">
        <v>671</v>
      </c>
      <c r="B56" s="10" t="str">
        <f>VLOOKUP(A56,'ITEM LIST'!A:D,3,FALSE)</f>
        <v>TAPE, 305PH, TRANSPARENT 1", GELATO USE, 3M</v>
      </c>
      <c r="C56" s="10"/>
      <c r="D56" s="10"/>
      <c r="E56" s="18">
        <v>12</v>
      </c>
      <c r="F56" s="18" t="str">
        <f>VLOOKUP(A56,'ITEM LIST'!A:D,4,FALSE)</f>
        <v>RL</v>
      </c>
      <c r="G56" s="19">
        <v>221.76599999999999</v>
      </c>
      <c r="H56" s="20">
        <v>248.37791999999999</v>
      </c>
    </row>
    <row r="57" spans="1:8" ht="27" x14ac:dyDescent="0.35">
      <c r="A57" s="17" t="s">
        <v>892</v>
      </c>
      <c r="B57" s="10" t="str">
        <f>VLOOKUP(A57,'ITEM LIST'!A:D,3,FALSE)</f>
        <v>BIRTHDAY CANDLE, SMALL-BLUE, 24PCSX24PKSX1BX, PC</v>
      </c>
      <c r="C57" s="10"/>
      <c r="D57" s="10"/>
      <c r="E57" s="18">
        <v>48</v>
      </c>
      <c r="F57" s="18" t="str">
        <f>VLOOKUP(A57,'ITEM LIST'!A:D,4,FALSE)</f>
        <v>PC</v>
      </c>
      <c r="G57" s="19">
        <v>689.99999999999989</v>
      </c>
      <c r="H57" s="20">
        <v>772.79999999999984</v>
      </c>
    </row>
    <row r="58" spans="1:8" ht="27" x14ac:dyDescent="0.35">
      <c r="A58" s="17" t="s">
        <v>838</v>
      </c>
      <c r="B58" s="10" t="str">
        <f>VLOOKUP(A58,'ITEM LIST'!A:D,3,FALSE)</f>
        <v>STICKER, GELATO PINT W/ PRINT, COLD ADHESION</v>
      </c>
      <c r="C58" s="10"/>
      <c r="D58" s="10"/>
      <c r="E58" s="18">
        <v>27</v>
      </c>
      <c r="F58" s="18" t="str">
        <f>VLOOKUP(A58,'ITEM LIST'!A:D,4,FALSE)</f>
        <v>SET</v>
      </c>
      <c r="G58" s="19">
        <v>263.37044699999996</v>
      </c>
      <c r="H58" s="20">
        <v>294.97490063999993</v>
      </c>
    </row>
    <row r="59" spans="1:8" ht="27" x14ac:dyDescent="0.35">
      <c r="A59" s="17" t="s">
        <v>704</v>
      </c>
      <c r="B59" s="10" t="str">
        <f>VLOOKUP(A59,'ITEM LIST'!A:D,3,FALSE)</f>
        <v>DISPOSABLE PAPER CUP, W/PRINT, 4OZ, PC</v>
      </c>
      <c r="C59" s="10"/>
      <c r="D59" s="10"/>
      <c r="E59" s="18">
        <v>200</v>
      </c>
      <c r="F59" s="18" t="str">
        <f>VLOOKUP(A59,'ITEM LIST'!A:D,4,FALSE)</f>
        <v>PC</v>
      </c>
      <c r="G59" s="19">
        <v>296.7</v>
      </c>
      <c r="H59" s="20">
        <v>332.30399999999997</v>
      </c>
    </row>
    <row r="60" spans="1:8" ht="27" x14ac:dyDescent="0.35">
      <c r="A60" s="17" t="s">
        <v>706</v>
      </c>
      <c r="B60" s="10" t="str">
        <f>VLOOKUP(A60,'ITEM LIST'!A:D,3,FALSE)</f>
        <v>DISPOSABLE PAPER CUP, W/PRINT, 8.79OZ, PC</v>
      </c>
      <c r="C60" s="10"/>
      <c r="D60" s="10"/>
      <c r="E60" s="18">
        <v>200</v>
      </c>
      <c r="F60" s="18" t="str">
        <f>VLOOKUP(A60,'ITEM LIST'!A:D,4,FALSE)</f>
        <v>PC</v>
      </c>
      <c r="G60" s="19">
        <v>328.9</v>
      </c>
      <c r="H60" s="20">
        <v>368.36799999999999</v>
      </c>
    </row>
    <row r="61" spans="1:8" ht="27" x14ac:dyDescent="0.35">
      <c r="A61" s="17" t="s">
        <v>722</v>
      </c>
      <c r="B61" s="10" t="str">
        <f>VLOOKUP(A61,'ITEM LIST'!A:D,3,FALSE)</f>
        <v>RIBBON,YELLOW,#5 CUT EDGE RIBBON, 50YARDS/RL, RL</v>
      </c>
      <c r="C61" s="10"/>
      <c r="D61" s="10"/>
      <c r="E61" s="18">
        <v>70</v>
      </c>
      <c r="F61" s="18" t="str">
        <f>VLOOKUP(A61,'ITEM LIST'!A:D,4,FALSE)</f>
        <v>RL</v>
      </c>
      <c r="G61" s="19">
        <v>4456.4799999999996</v>
      </c>
      <c r="H61" s="20">
        <v>4991.257599999999</v>
      </c>
    </row>
    <row r="62" spans="1:8" ht="27" x14ac:dyDescent="0.35">
      <c r="A62" s="17" t="s">
        <v>872</v>
      </c>
      <c r="B62" s="10" t="str">
        <f>VLOOKUP(A62,'ITEM LIST'!A:D,3,FALSE)</f>
        <v>ECO BAG,NON-WOVEN, PINK W/ PRINT, 30Lx28.5Wx33Hcm w/ piping</v>
      </c>
      <c r="C62" s="10"/>
      <c r="D62" s="10"/>
      <c r="E62" s="18">
        <v>50</v>
      </c>
      <c r="F62" s="18" t="str">
        <f>VLOOKUP(A62,'ITEM LIST'!A:D,4,FALSE)</f>
        <v>PC</v>
      </c>
      <c r="G62" s="19">
        <v>1026.9499999999998</v>
      </c>
      <c r="H62" s="20">
        <v>1150.1839999999997</v>
      </c>
    </row>
    <row r="63" spans="1:8" ht="27" x14ac:dyDescent="0.35">
      <c r="A63" s="17" t="s">
        <v>891</v>
      </c>
      <c r="B63" s="10" t="str">
        <f>VLOOKUP(A63,'ITEM LIST'!A:D,3,FALSE)</f>
        <v>BIRTHDAY CANDLE, SMALL-PINK, 24PCSX24PKSX1BX, PC</v>
      </c>
      <c r="C63" s="10"/>
      <c r="D63" s="10"/>
      <c r="E63" s="18">
        <v>48</v>
      </c>
      <c r="F63" s="18" t="str">
        <f>VLOOKUP(A63,'ITEM LIST'!A:D,4,FALSE)</f>
        <v>PC</v>
      </c>
      <c r="G63" s="19">
        <v>689.99999999999989</v>
      </c>
      <c r="H63" s="20">
        <v>772.79999999999984</v>
      </c>
    </row>
    <row r="64" spans="1:8" ht="29.25" customHeight="1" x14ac:dyDescent="0.35">
      <c r="A64" s="17" t="s">
        <v>137</v>
      </c>
      <c r="B64" s="10" t="str">
        <f>VLOOKUP(A64,'ITEM LIST'!A:D,3,FALSE)</f>
        <v>NAPKIN, CARAMIA, 1PLY 13"X13", 100PCS/PCK, 50PCKS/CASE</v>
      </c>
      <c r="C64" s="10"/>
      <c r="D64" s="10"/>
      <c r="E64" s="18">
        <v>200</v>
      </c>
      <c r="F64" s="18" t="str">
        <f>VLOOKUP(A64,'ITEM LIST'!A:D,4,FALSE)</f>
        <v>PC</v>
      </c>
      <c r="G64" s="19">
        <v>57.499999999999993</v>
      </c>
      <c r="H64" s="20">
        <v>64.399999999999991</v>
      </c>
    </row>
    <row r="65" spans="1:8" ht="27" x14ac:dyDescent="0.35">
      <c r="A65" s="17" t="s">
        <v>173</v>
      </c>
      <c r="B65" s="10" t="str">
        <f>VLOOKUP(A65,'ITEM LIST'!A:D,3,FALSE)</f>
        <v>POS JOURNAL TAPE 76x70MM, 1 PLY</v>
      </c>
      <c r="C65" s="10"/>
      <c r="D65" s="10"/>
      <c r="E65" s="18">
        <v>50</v>
      </c>
      <c r="F65" s="18" t="str">
        <f>VLOOKUP(A65,'ITEM LIST'!A:D,4,FALSE)</f>
        <v>RL</v>
      </c>
      <c r="G65" s="19">
        <v>770.08928571428555</v>
      </c>
      <c r="H65" s="20">
        <v>862.49999999999977</v>
      </c>
    </row>
    <row r="66" spans="1:8" ht="24.75" customHeight="1" x14ac:dyDescent="0.35">
      <c r="A66" s="17" t="s">
        <v>977</v>
      </c>
      <c r="B66" s="10" t="str">
        <f>VLOOKUP(A66,'ITEM LIST'!A:D,3,FALSE)</f>
        <v>BISCUIT COOKIES, VANILLA, 12/274GM, KG</v>
      </c>
      <c r="C66" s="10"/>
      <c r="D66" s="10"/>
      <c r="E66" s="18">
        <v>0.23899999999999999</v>
      </c>
      <c r="F66" s="18" t="str">
        <f>VLOOKUP(A66,'ITEM LIST'!A:D,4,FALSE)</f>
        <v>KG</v>
      </c>
      <c r="G66" s="19">
        <v>79.124534999999995</v>
      </c>
      <c r="H66" s="20">
        <v>88.619479200000001</v>
      </c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94940.765220277099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10172.224845029688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84768.540375247409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84768.540375247409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10172.224845029688</v>
      </c>
      <c r="G83" s="38"/>
      <c r="H83" s="35">
        <f>F83</f>
        <v>10172.224845029688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847.68540375247414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94093.079816524623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2AE3-8443-4708-B45D-B1AA4F95934E}">
  <sheetPr>
    <pageSetUpPr fitToPage="1"/>
  </sheetPr>
  <dimension ref="A10:H86"/>
  <sheetViews>
    <sheetView view="pageBreakPreview" topLeftCell="A50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5274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734</v>
      </c>
      <c r="B27" s="10" t="str">
        <f>VLOOKUP(A27,'ITEM LIST'!A:D,3,FALSE)</f>
        <v>THERMAL BAG,PINK&amp;SILVER,W/PRINT, 10.5X10.5X6in,</v>
      </c>
      <c r="C27" s="10"/>
      <c r="D27" s="10"/>
      <c r="E27" s="18">
        <v>25</v>
      </c>
      <c r="F27" s="18" t="str">
        <f>VLOOKUP(A27,'ITEM LIST'!A:D,4,FALSE)</f>
        <v>PC</v>
      </c>
      <c r="G27" s="19">
        <v>3465.5250000000001</v>
      </c>
      <c r="H27" s="20">
        <v>3881.3879999999999</v>
      </c>
    </row>
    <row r="28" spans="1:8" ht="27" x14ac:dyDescent="0.35">
      <c r="A28" s="17" t="s">
        <v>766</v>
      </c>
      <c r="B28" s="10" t="str">
        <f>VLOOKUP(A28,'ITEM LIST'!A:D,3,FALSE)</f>
        <v>DISPOSABLE PAPER CUP ,PRINTED 3OZ, 2PE-180GSM</v>
      </c>
      <c r="C28" s="10"/>
      <c r="D28" s="10"/>
      <c r="E28" s="18">
        <v>200</v>
      </c>
      <c r="F28" s="18" t="str">
        <f>VLOOKUP(A28,'ITEM LIST'!A:D,4,FALSE)</f>
        <v>PC</v>
      </c>
      <c r="G28" s="19">
        <v>204.69999999999996</v>
      </c>
      <c r="H28" s="20">
        <v>229.26399999999995</v>
      </c>
    </row>
    <row r="29" spans="1:8" ht="27" x14ac:dyDescent="0.35">
      <c r="A29" s="17" t="s">
        <v>866</v>
      </c>
      <c r="B29" s="10" t="str">
        <f>VLOOKUP(A29,'ITEM LIST'!A:D,3,FALSE)</f>
        <v xml:space="preserve">INSULATED FOAM, POUCH, PINT, 8x10”x 5in (overlap) </v>
      </c>
      <c r="C29" s="10"/>
      <c r="D29" s="10"/>
      <c r="E29" s="18">
        <v>50</v>
      </c>
      <c r="F29" s="18" t="str">
        <f>VLOOKUP(A29,'ITEM LIST'!A:D,4,FALSE)</f>
        <v>PC</v>
      </c>
      <c r="G29" s="19">
        <v>346.72500000000002</v>
      </c>
      <c r="H29" s="20">
        <v>388.33199999999999</v>
      </c>
    </row>
    <row r="30" spans="1:8" ht="27" x14ac:dyDescent="0.35">
      <c r="A30" s="17" t="s">
        <v>834</v>
      </c>
      <c r="B30" s="10" t="str">
        <f>VLOOKUP(A30,'ITEM LIST'!A:D,3,FALSE)</f>
        <v>Plastic, Tub &amp; Lid, Gelato, Pint</v>
      </c>
      <c r="C30" s="10"/>
      <c r="D30" s="10"/>
      <c r="E30" s="18">
        <v>27</v>
      </c>
      <c r="F30" s="18" t="str">
        <f>VLOOKUP(A30,'ITEM LIST'!A:D,4,FALSE)</f>
        <v>SET</v>
      </c>
      <c r="G30" s="19">
        <v>291.24900000000002</v>
      </c>
      <c r="H30" s="20">
        <v>326.19888000000003</v>
      </c>
    </row>
    <row r="31" spans="1:8" ht="27" x14ac:dyDescent="0.35">
      <c r="A31" s="17" t="s">
        <v>802</v>
      </c>
      <c r="B31" s="10" t="str">
        <f>VLOOKUP(A31,'ITEM LIST'!A:D,3,FALSE)</f>
        <v>PAPER, BAG, KRAFT#2, CARAMIA, 70GSM</v>
      </c>
      <c r="C31" s="10"/>
      <c r="D31" s="10"/>
      <c r="E31" s="18">
        <v>80</v>
      </c>
      <c r="F31" s="18" t="str">
        <f>VLOOKUP(A31,'ITEM LIST'!A:D,4,FALSE)</f>
        <v>PC</v>
      </c>
      <c r="G31" s="19">
        <v>381.8</v>
      </c>
      <c r="H31" s="20">
        <v>427.61599999999999</v>
      </c>
    </row>
    <row r="32" spans="1:8" ht="27" x14ac:dyDescent="0.35">
      <c r="A32" s="17" t="s">
        <v>115</v>
      </c>
      <c r="B32" s="10" t="str">
        <f>VLOOKUP(A32,'ITEM LIST'!A:D,3,FALSE)</f>
        <v>WHITE PAPER, HAND TOWEL 200X200MM,1PLY,150 PCS/PCK, 30PCKS/CASE</v>
      </c>
      <c r="C32" s="10"/>
      <c r="D32" s="10"/>
      <c r="E32" s="18">
        <v>30</v>
      </c>
      <c r="F32" s="18" t="str">
        <f>VLOOKUP(A32,'ITEM LIST'!A:D,4,FALSE)</f>
        <v>PK</v>
      </c>
      <c r="G32" s="19">
        <v>883.13839285714278</v>
      </c>
      <c r="H32" s="20">
        <v>989.1149999999999</v>
      </c>
    </row>
    <row r="33" spans="1:8" ht="27" x14ac:dyDescent="0.35">
      <c r="A33" s="17" t="s">
        <v>27</v>
      </c>
      <c r="B33" s="10" t="str">
        <f>VLOOKUP(A33,'ITEM LIST'!A:D,3,FALSE)</f>
        <v>DISPOSABLE, PLASTIC GLOVES, LARGE, 100 PCS XPACK</v>
      </c>
      <c r="C33" s="10"/>
      <c r="D33" s="10"/>
      <c r="E33" s="18">
        <v>15</v>
      </c>
      <c r="F33" s="18" t="str">
        <f>VLOOKUP(A33,'ITEM LIST'!A:D,4,FALSE)</f>
        <v>PK</v>
      </c>
      <c r="G33" s="19">
        <v>770.04</v>
      </c>
      <c r="H33" s="20">
        <v>862.44479999999999</v>
      </c>
    </row>
    <row r="34" spans="1:8" ht="27" x14ac:dyDescent="0.35">
      <c r="A34" s="17" t="s">
        <v>21</v>
      </c>
      <c r="B34" s="10" t="str">
        <f>VLOOKUP(A34,'ITEM LIST'!A:D,3,FALSE)</f>
        <v>CLING WRAP, 30 METERS PER ROLL</v>
      </c>
      <c r="C34" s="10"/>
      <c r="D34" s="10"/>
      <c r="E34" s="18">
        <v>2</v>
      </c>
      <c r="F34" s="18" t="str">
        <f>VLOOKUP(A34,'ITEM LIST'!A:D,4,FALSE)</f>
        <v>RL</v>
      </c>
      <c r="G34" s="19">
        <v>492.86699999999996</v>
      </c>
      <c r="H34" s="20">
        <v>552.01103999999998</v>
      </c>
    </row>
    <row r="35" spans="1:8" ht="27" x14ac:dyDescent="0.35">
      <c r="A35" s="17" t="s">
        <v>94</v>
      </c>
      <c r="B35" s="10" t="str">
        <f>VLOOKUP(A35,'ITEM LIST'!A:D,3,FALSE)</f>
        <v>NAPKIN, TABLE,WHT, BEST CHOICE, 5PK/CS</v>
      </c>
      <c r="C35" s="10"/>
      <c r="D35" s="10"/>
      <c r="E35" s="18">
        <v>4</v>
      </c>
      <c r="F35" s="18" t="str">
        <f>VLOOKUP(A35,'ITEM LIST'!A:D,4,FALSE)</f>
        <v>PK</v>
      </c>
      <c r="G35" s="19">
        <v>205.35714285714283</v>
      </c>
      <c r="H35" s="20">
        <v>229.99999999999997</v>
      </c>
    </row>
    <row r="36" spans="1:8" ht="27" x14ac:dyDescent="0.35">
      <c r="A36" s="17" t="s">
        <v>977</v>
      </c>
      <c r="B36" s="10" t="str">
        <f>VLOOKUP(A36,'ITEM LIST'!A:D,3,FALSE)</f>
        <v>BISCUIT COOKIES, VANILLA, 12/274GM, KG</v>
      </c>
      <c r="C36" s="10"/>
      <c r="D36" s="10"/>
      <c r="E36" s="18">
        <v>1.9139999999999999</v>
      </c>
      <c r="F36" s="18" t="str">
        <f>VLOOKUP(A36,'ITEM LIST'!A:D,4,FALSE)</f>
        <v>KG</v>
      </c>
      <c r="G36" s="19">
        <v>633.65841</v>
      </c>
      <c r="H36" s="20">
        <v>709.69741920000001</v>
      </c>
    </row>
    <row r="37" spans="1:8" ht="27" x14ac:dyDescent="0.35">
      <c r="A37" s="17" t="s">
        <v>175</v>
      </c>
      <c r="B37" s="10" t="str">
        <f>VLOOKUP(A37,'ITEM LIST'!A:D,3,FALSE)</f>
        <v>GENUINE EPSON BRAND ERC-38 RIBBON, BLACK</v>
      </c>
      <c r="C37" s="10"/>
      <c r="D37" s="10"/>
      <c r="E37" s="18">
        <v>10</v>
      </c>
      <c r="F37" s="18" t="str">
        <f>VLOOKUP(A37,'ITEM LIST'!A:D,4,FALSE)</f>
        <v>PC</v>
      </c>
      <c r="G37" s="19">
        <v>1488.8392857142853</v>
      </c>
      <c r="H37" s="20">
        <v>1667.4999999999995</v>
      </c>
    </row>
    <row r="38" spans="1:8" ht="27" x14ac:dyDescent="0.35">
      <c r="A38" s="17" t="s">
        <v>4019</v>
      </c>
      <c r="B38" s="10" t="str">
        <f>VLOOKUP(A38,'ITEM LIST'!A:D,3,FALSE)</f>
        <v>COFFEE CRUNCH,  70 G/PK, PK</v>
      </c>
      <c r="C38" s="10"/>
      <c r="D38" s="10"/>
      <c r="E38" s="18">
        <v>20</v>
      </c>
      <c r="F38" s="18" t="str">
        <f>VLOOKUP(A38,'ITEM LIST'!A:D,4,FALSE)</f>
        <v>PK</v>
      </c>
      <c r="G38" s="19">
        <v>238</v>
      </c>
      <c r="H38" s="20">
        <v>266.56</v>
      </c>
    </row>
    <row r="39" spans="1:8" ht="27" x14ac:dyDescent="0.35">
      <c r="A39" s="17" t="s">
        <v>3939</v>
      </c>
      <c r="B39" s="10" t="str">
        <f>VLOOKUP(A39,'ITEM LIST'!A:D,3,FALSE)</f>
        <v>SALTED CHOCOLATE SMORES CAKE, NEW, PC</v>
      </c>
      <c r="C39" s="10"/>
      <c r="D39" s="10"/>
      <c r="E39" s="18">
        <v>15</v>
      </c>
      <c r="F39" s="18" t="str">
        <f>VLOOKUP(A39,'ITEM LIST'!A:D,4,FALSE)</f>
        <v>PC</v>
      </c>
      <c r="G39" s="19">
        <v>6857.8124999999991</v>
      </c>
      <c r="H39" s="20">
        <v>7680.7499999999991</v>
      </c>
    </row>
    <row r="40" spans="1:8" ht="27" x14ac:dyDescent="0.35">
      <c r="A40" s="17" t="s">
        <v>3798</v>
      </c>
      <c r="B40" s="10" t="str">
        <f>VLOOKUP(A40,'ITEM LIST'!A:D,3,FALSE)</f>
        <v>MANGO MAGNIFICO CAKE, WHOLE, NEW DESIGN</v>
      </c>
      <c r="C40" s="10"/>
      <c r="D40" s="10"/>
      <c r="E40" s="18">
        <v>21</v>
      </c>
      <c r="F40" s="18" t="str">
        <f>VLOOKUP(A40,'ITEM LIST'!A:D,4,FALSE)</f>
        <v>PC</v>
      </c>
      <c r="G40" s="19">
        <v>9600.9374999999982</v>
      </c>
      <c r="H40" s="20">
        <v>10753.049999999997</v>
      </c>
    </row>
    <row r="41" spans="1:8" ht="27" x14ac:dyDescent="0.35">
      <c r="A41" s="17" t="s">
        <v>3058</v>
      </c>
      <c r="B41" s="10" t="str">
        <f>VLOOKUP(A41,'ITEM LIST'!A:D,3,FALSE)</f>
        <v>SEA SALTED CRUNCH 140 GM</v>
      </c>
      <c r="C41" s="10"/>
      <c r="D41" s="10"/>
      <c r="E41" s="18">
        <v>29</v>
      </c>
      <c r="F41" s="18" t="str">
        <f>VLOOKUP(A41,'ITEM LIST'!A:D,4,FALSE)</f>
        <v>PK</v>
      </c>
      <c r="G41" s="19">
        <v>380.85699999999997</v>
      </c>
      <c r="H41" s="20">
        <v>426.55983999999995</v>
      </c>
    </row>
    <row r="42" spans="1:8" ht="27" x14ac:dyDescent="0.35">
      <c r="A42" s="17" t="s">
        <v>2682</v>
      </c>
      <c r="B42" s="10" t="str">
        <f>VLOOKUP(A42,'ITEM LIST'!A:D,3,FALSE)</f>
        <v>SEA SALTED HONEY CRUNCH CAKE</v>
      </c>
      <c r="C42" s="10"/>
      <c r="D42" s="10"/>
      <c r="E42" s="18">
        <v>29</v>
      </c>
      <c r="F42" s="18" t="str">
        <f>VLOOKUP(A42,'ITEM LIST'!A:D,4,FALSE)</f>
        <v>PC</v>
      </c>
      <c r="G42" s="19">
        <v>10974.687499999998</v>
      </c>
      <c r="H42" s="20">
        <v>12291.649999999998</v>
      </c>
    </row>
    <row r="43" spans="1:8" ht="27" x14ac:dyDescent="0.35">
      <c r="A43" s="17" t="s">
        <v>2628</v>
      </c>
      <c r="B43" s="10" t="str">
        <f>VLOOKUP(A43,'ITEM LIST'!A:D,3,FALSE)</f>
        <v>CASHEW BRITTLE, 15G/PK, PK</v>
      </c>
      <c r="C43" s="10"/>
      <c r="D43" s="10"/>
      <c r="E43" s="18">
        <v>32</v>
      </c>
      <c r="F43" s="18" t="str">
        <f>VLOOKUP(A43,'ITEM LIST'!A:D,4,FALSE)</f>
        <v>PK</v>
      </c>
      <c r="G43" s="19">
        <v>168.27848275862067</v>
      </c>
      <c r="H43" s="20">
        <v>188.47190068965514</v>
      </c>
    </row>
    <row r="44" spans="1:8" ht="27" x14ac:dyDescent="0.35">
      <c r="A44" s="17" t="s">
        <v>2626</v>
      </c>
      <c r="B44" s="10" t="str">
        <f>VLOOKUP(A44,'ITEM LIST'!A:D,3,FALSE)</f>
        <v>MIDNIGHT DREAM CAKE, PC</v>
      </c>
      <c r="C44" s="10"/>
      <c r="D44" s="10"/>
      <c r="E44" s="18">
        <v>32</v>
      </c>
      <c r="F44" s="18" t="str">
        <f>VLOOKUP(A44,'ITEM LIST'!A:D,4,FALSE)</f>
        <v>PC</v>
      </c>
      <c r="G44" s="19">
        <v>14910</v>
      </c>
      <c r="H44" s="20">
        <v>16699.2</v>
      </c>
    </row>
    <row r="45" spans="1:8" ht="27" x14ac:dyDescent="0.35">
      <c r="A45" s="17" t="s">
        <v>4021</v>
      </c>
      <c r="B45" s="10" t="str">
        <f>VLOOKUP(A45,'ITEM LIST'!A:D,3,FALSE)</f>
        <v>CHOCOLATE JAVA CAKE, PC</v>
      </c>
      <c r="C45" s="10"/>
      <c r="D45" s="10"/>
      <c r="E45" s="18">
        <v>20</v>
      </c>
      <c r="F45" s="18" t="str">
        <f>VLOOKUP(A45,'ITEM LIST'!A:D,4,FALSE)</f>
        <v>PC</v>
      </c>
      <c r="G45" s="19">
        <v>8706.2499999999982</v>
      </c>
      <c r="H45" s="20">
        <v>9750.9999999999982</v>
      </c>
    </row>
    <row r="46" spans="1:8" ht="27" x14ac:dyDescent="0.35">
      <c r="A46" s="17" t="s">
        <v>3702</v>
      </c>
      <c r="B46" s="10" t="str">
        <f>VLOOKUP(A46,'ITEM LIST'!A:D,3,FALSE)</f>
        <v>UBE CAKE, PC</v>
      </c>
      <c r="C46" s="10"/>
      <c r="D46" s="10"/>
      <c r="E46" s="18">
        <v>35</v>
      </c>
      <c r="F46" s="18" t="str">
        <f>VLOOKUP(A46,'ITEM LIST'!A:D,4,FALSE)</f>
        <v>PC</v>
      </c>
      <c r="G46" s="19">
        <v>16001.562499999998</v>
      </c>
      <c r="H46" s="20">
        <v>17921.749999999996</v>
      </c>
    </row>
    <row r="47" spans="1:8" ht="27" x14ac:dyDescent="0.35">
      <c r="A47" s="17" t="s">
        <v>2460</v>
      </c>
      <c r="B47" s="10" t="str">
        <f>VLOOKUP(A47,'ITEM LIST'!A:D,3,FALSE)</f>
        <v>PISTACCHOCOLATO, WHOLE</v>
      </c>
      <c r="C47" s="10"/>
      <c r="D47" s="10"/>
      <c r="E47" s="18">
        <v>18</v>
      </c>
      <c r="F47" s="18" t="str">
        <f>VLOOKUP(A47,'ITEM LIST'!A:D,4,FALSE)</f>
        <v>PC</v>
      </c>
      <c r="G47" s="19">
        <v>8623.1249999999982</v>
      </c>
      <c r="H47" s="20">
        <v>9657.8999999999978</v>
      </c>
    </row>
    <row r="48" spans="1:8" ht="27" x14ac:dyDescent="0.35">
      <c r="A48" s="17" t="s">
        <v>2294</v>
      </c>
      <c r="B48" s="10" t="str">
        <f>VLOOKUP(A48,'ITEM LIST'!A:D,3,FALSE)</f>
        <v>PIPING CHOCOLATE, 200G/PK</v>
      </c>
      <c r="C48" s="10"/>
      <c r="D48" s="10"/>
      <c r="E48" s="18">
        <v>5</v>
      </c>
      <c r="F48" s="18" t="str">
        <f>VLOOKUP(A48,'ITEM LIST'!A:D,4,FALSE)</f>
        <v>PK</v>
      </c>
      <c r="G48" s="19">
        <v>230.0463675</v>
      </c>
      <c r="H48" s="20">
        <v>257.65193160000001</v>
      </c>
    </row>
    <row r="49" spans="1:8" ht="27" x14ac:dyDescent="0.35">
      <c r="A49" s="17" t="s">
        <v>3018</v>
      </c>
      <c r="B49" s="10" t="str">
        <f>VLOOKUP(A49,'ITEM LIST'!A:D,3,FALSE)</f>
        <v>BLUEBERRY CHEESECAKE GELATO, 4.5KG/TRAY</v>
      </c>
      <c r="C49" s="10"/>
      <c r="D49" s="10"/>
      <c r="E49" s="18">
        <v>0.56000000000000005</v>
      </c>
      <c r="F49" s="18" t="str">
        <f>VLOOKUP(A49,'ITEM LIST'!A:D,4,FALSE)</f>
        <v>TR</v>
      </c>
      <c r="G49" s="19">
        <v>1323.0000000000002</v>
      </c>
      <c r="H49" s="20">
        <v>1481.7600000000002</v>
      </c>
    </row>
    <row r="50" spans="1:8" ht="27" x14ac:dyDescent="0.35">
      <c r="A50" s="17" t="s">
        <v>2762</v>
      </c>
      <c r="B50" s="10" t="str">
        <f>VLOOKUP(A50,'ITEM LIST'!A:D,3,FALSE)</f>
        <v>TURTLE PIE, 2.5KG/TRAY</v>
      </c>
      <c r="C50" s="10"/>
      <c r="D50" s="10"/>
      <c r="E50" s="18">
        <v>1</v>
      </c>
      <c r="F50" s="18" t="str">
        <f>VLOOKUP(A50,'ITEM LIST'!A:D,4,FALSE)</f>
        <v>TR</v>
      </c>
      <c r="G50" s="19">
        <v>1312.5</v>
      </c>
      <c r="H50" s="20">
        <v>1470</v>
      </c>
    </row>
    <row r="51" spans="1:8" ht="27" x14ac:dyDescent="0.35">
      <c r="A51" s="17" t="s">
        <v>2574</v>
      </c>
      <c r="B51" s="10" t="str">
        <f>VLOOKUP(A51,'ITEM LIST'!A:D,3,FALSE)</f>
        <v>COOKIE DOUGH GELATO, 2.5/TRAY</v>
      </c>
      <c r="C51" s="10"/>
      <c r="D51" s="10"/>
      <c r="E51" s="18">
        <v>1</v>
      </c>
      <c r="F51" s="18" t="str">
        <f>VLOOKUP(A51,'ITEM LIST'!A:D,4,FALSE)</f>
        <v>TR</v>
      </c>
      <c r="G51" s="19">
        <v>1312.5</v>
      </c>
      <c r="H51" s="20">
        <v>1470</v>
      </c>
    </row>
    <row r="52" spans="1:8" ht="27" x14ac:dyDescent="0.35">
      <c r="A52" s="17" t="s">
        <v>2234</v>
      </c>
      <c r="B52" s="10" t="str">
        <f>VLOOKUP(A52,'ITEM LIST'!A:D,3,FALSE)</f>
        <v>NEW PISTACHIO, 4.5KG/TRAY</v>
      </c>
      <c r="C52" s="10"/>
      <c r="D52" s="10"/>
      <c r="E52" s="18">
        <v>0.56000000000000005</v>
      </c>
      <c r="F52" s="18" t="str">
        <f>VLOOKUP(A52,'ITEM LIST'!A:D,4,FALSE)</f>
        <v>TR</v>
      </c>
      <c r="G52" s="19">
        <v>1323.0000000000002</v>
      </c>
      <c r="H52" s="20">
        <v>1481.7600000000002</v>
      </c>
    </row>
    <row r="53" spans="1:8" ht="27" x14ac:dyDescent="0.35">
      <c r="A53" s="17" t="s">
        <v>2222</v>
      </c>
      <c r="B53" s="10" t="str">
        <f>VLOOKUP(A53,'ITEM LIST'!A:D,3,FALSE)</f>
        <v>NEW FERRERO, 2.5KG/TRAY</v>
      </c>
      <c r="C53" s="10"/>
      <c r="D53" s="10"/>
      <c r="E53" s="18">
        <v>1</v>
      </c>
      <c r="F53" s="18" t="str">
        <f>VLOOKUP(A53,'ITEM LIST'!A:D,4,FALSE)</f>
        <v>TR</v>
      </c>
      <c r="G53" s="19">
        <v>1312.4999999999998</v>
      </c>
      <c r="H53" s="20">
        <v>1469.9999999999998</v>
      </c>
    </row>
    <row r="54" spans="1:8" ht="27" x14ac:dyDescent="0.35">
      <c r="A54" s="17" t="s">
        <v>2296</v>
      </c>
      <c r="B54" s="10" t="str">
        <f>VLOOKUP(A54,'ITEM LIST'!A:D,3,FALSE)</f>
        <v>BLANK HAPPY BIRTHDAY LABEL, 24PCS/BX</v>
      </c>
      <c r="C54" s="10"/>
      <c r="D54" s="10"/>
      <c r="E54" s="18">
        <v>6</v>
      </c>
      <c r="F54" s="18" t="str">
        <f>VLOOKUP(A54,'ITEM LIST'!A:D,4,FALSE)</f>
        <v>BX</v>
      </c>
      <c r="G54" s="19">
        <v>932.97679200000016</v>
      </c>
      <c r="H54" s="20">
        <v>1044.9340070400001</v>
      </c>
    </row>
    <row r="55" spans="1:8" ht="27" x14ac:dyDescent="0.35">
      <c r="A55" s="17" t="s">
        <v>3030</v>
      </c>
      <c r="B55" s="10" t="str">
        <f>VLOOKUP(A55,'ITEM LIST'!A:D,3,FALSE)</f>
        <v>OREO COOKIES N' CREAM, 4.5KG./TRAY</v>
      </c>
      <c r="C55" s="10"/>
      <c r="D55" s="10"/>
      <c r="E55" s="18">
        <v>0.56000000000000005</v>
      </c>
      <c r="F55" s="18" t="str">
        <f>VLOOKUP(A55,'ITEM LIST'!A:D,4,FALSE)</f>
        <v>TR</v>
      </c>
      <c r="G55" s="19">
        <v>1323.0000000000002</v>
      </c>
      <c r="H55" s="20">
        <v>1481.7600000000002</v>
      </c>
    </row>
    <row r="56" spans="1:8" ht="27" x14ac:dyDescent="0.35">
      <c r="A56" s="17" t="s">
        <v>3020</v>
      </c>
      <c r="B56" s="10" t="str">
        <f>VLOOKUP(A56,'ITEM LIST'!A:D,3,FALSE)</f>
        <v>CHOCOLATE THERAPY GELATO, 4.5/TRAY</v>
      </c>
      <c r="C56" s="10"/>
      <c r="D56" s="10"/>
      <c r="E56" s="18">
        <v>0.56000000000000005</v>
      </c>
      <c r="F56" s="18" t="str">
        <f>VLOOKUP(A56,'ITEM LIST'!A:D,4,FALSE)</f>
        <v>TR</v>
      </c>
      <c r="G56" s="19">
        <v>1323.0000000000002</v>
      </c>
      <c r="H56" s="20">
        <v>1481.7600000000002</v>
      </c>
    </row>
    <row r="57" spans="1:8" ht="27" x14ac:dyDescent="0.35">
      <c r="A57" s="17" t="s">
        <v>3615</v>
      </c>
      <c r="B57" s="10" t="str">
        <f>VLOOKUP(A57,'ITEM LIST'!A:D,3,FALSE)</f>
        <v>COFFEE MUDSLIDE GELATO, 2.5KGS./TRAY</v>
      </c>
      <c r="C57" s="10"/>
      <c r="D57" s="10"/>
      <c r="E57" s="18">
        <v>1</v>
      </c>
      <c r="F57" s="18" t="str">
        <f>VLOOKUP(A57,'ITEM LIST'!A:D,4,FALSE)</f>
        <v>TR</v>
      </c>
      <c r="G57" s="19">
        <v>1312.5</v>
      </c>
      <c r="H57" s="20">
        <v>1470</v>
      </c>
    </row>
    <row r="58" spans="1:8" ht="27" x14ac:dyDescent="0.35">
      <c r="A58" s="17" t="s">
        <v>3762</v>
      </c>
      <c r="B58" s="10" t="str">
        <f>VLOOKUP(A58,'ITEM LIST'!A:D,3,FALSE)</f>
        <v>UBE GELATO, 2.5 KG/TRAY</v>
      </c>
      <c r="C58" s="10"/>
      <c r="D58" s="10"/>
      <c r="E58" s="18">
        <v>1</v>
      </c>
      <c r="F58" s="18" t="str">
        <f>VLOOKUP(A58,'ITEM LIST'!A:D,4,FALSE)</f>
        <v>TR</v>
      </c>
      <c r="G58" s="19">
        <v>1312.5</v>
      </c>
      <c r="H58" s="20">
        <v>1470</v>
      </c>
    </row>
    <row r="59" spans="1:8" ht="27" x14ac:dyDescent="0.35">
      <c r="A59" s="17" t="s">
        <v>3014</v>
      </c>
      <c r="B59" s="10" t="str">
        <f>VLOOKUP(A59,'ITEM LIST'!A:D,3,FALSE)</f>
        <v>STRAWBERRY GELATO, 2.5 KG TRAY</v>
      </c>
      <c r="C59" s="10"/>
      <c r="D59" s="10"/>
      <c r="E59" s="18">
        <v>1</v>
      </c>
      <c r="F59" s="18" t="str">
        <f>VLOOKUP(A59,'ITEM LIST'!A:D,4,FALSE)</f>
        <v>TR</v>
      </c>
      <c r="G59" s="19">
        <v>1312.5</v>
      </c>
      <c r="H59" s="20">
        <v>1470</v>
      </c>
    </row>
    <row r="60" spans="1:8" ht="27" x14ac:dyDescent="0.35">
      <c r="A60" s="17" t="s">
        <v>2460</v>
      </c>
      <c r="B60" s="10" t="str">
        <f>VLOOKUP(A60,'ITEM LIST'!A:D,3,FALSE)</f>
        <v>PISTACCHOCOLATO, WHOLE</v>
      </c>
      <c r="C60" s="10"/>
      <c r="D60" s="10"/>
      <c r="E60" s="18">
        <v>23</v>
      </c>
      <c r="F60" s="18" t="str">
        <f>VLOOKUP(A60,'ITEM LIST'!A:D,4,FALSE)</f>
        <v>PC</v>
      </c>
      <c r="G60" s="19">
        <v>11018.437499999998</v>
      </c>
      <c r="H60" s="20">
        <v>12340.649999999998</v>
      </c>
    </row>
    <row r="61" spans="1:8" ht="27" x14ac:dyDescent="0.35">
      <c r="A61" s="17" t="s">
        <v>3939</v>
      </c>
      <c r="B61" s="10" t="str">
        <f>VLOOKUP(A61,'ITEM LIST'!A:D,3,FALSE)</f>
        <v>SALTED CHOCOLATE SMORES CAKE, NEW, PC</v>
      </c>
      <c r="C61" s="10"/>
      <c r="D61" s="10"/>
      <c r="E61" s="18">
        <v>25</v>
      </c>
      <c r="F61" s="18" t="str">
        <f>VLOOKUP(A61,'ITEM LIST'!A:D,4,FALSE)</f>
        <v>PC</v>
      </c>
      <c r="G61" s="19">
        <v>11429.687499999998</v>
      </c>
      <c r="H61" s="20">
        <v>12801.249999999998</v>
      </c>
    </row>
    <row r="62" spans="1:8" ht="27" x14ac:dyDescent="0.35">
      <c r="A62" s="17" t="s">
        <v>3798</v>
      </c>
      <c r="B62" s="10" t="str">
        <f>VLOOKUP(A62,'ITEM LIST'!A:D,3,FALSE)</f>
        <v>MANGO MAGNIFICO CAKE, WHOLE, NEW DESIGN</v>
      </c>
      <c r="C62" s="10"/>
      <c r="D62" s="10"/>
      <c r="E62" s="18">
        <v>124</v>
      </c>
      <c r="F62" s="18" t="str">
        <f>VLOOKUP(A62,'ITEM LIST'!A:D,4,FALSE)</f>
        <v>PC</v>
      </c>
      <c r="G62" s="19">
        <v>56691.249999999993</v>
      </c>
      <c r="H62" s="20">
        <v>63494.19999999999</v>
      </c>
    </row>
    <row r="63" spans="1:8" ht="27" x14ac:dyDescent="0.35">
      <c r="A63" s="17" t="s">
        <v>3702</v>
      </c>
      <c r="B63" s="10" t="str">
        <f>VLOOKUP(A63,'ITEM LIST'!A:D,3,FALSE)</f>
        <v>UBE CAKE, PC</v>
      </c>
      <c r="C63" s="10"/>
      <c r="D63" s="10"/>
      <c r="E63" s="18">
        <v>170</v>
      </c>
      <c r="F63" s="18" t="str">
        <f>VLOOKUP(A63,'ITEM LIST'!A:D,4,FALSE)</f>
        <v>PC</v>
      </c>
      <c r="G63" s="19">
        <v>77721.874999999985</v>
      </c>
      <c r="H63" s="20">
        <v>87048.499999999985</v>
      </c>
    </row>
    <row r="64" spans="1:8" ht="29.25" customHeight="1" x14ac:dyDescent="0.35">
      <c r="A64" s="17" t="s">
        <v>2682</v>
      </c>
      <c r="B64" s="10" t="str">
        <f>VLOOKUP(A64,'ITEM LIST'!A:D,3,FALSE)</f>
        <v>SEA SALTED HONEY CRUNCH CAKE</v>
      </c>
      <c r="C64" s="10"/>
      <c r="D64" s="10"/>
      <c r="E64" s="18">
        <v>40</v>
      </c>
      <c r="F64" s="18" t="str">
        <f>VLOOKUP(A64,'ITEM LIST'!A:D,4,FALSE)</f>
        <v>PC</v>
      </c>
      <c r="G64" s="19">
        <v>15137.499999999998</v>
      </c>
      <c r="H64" s="20">
        <v>16953.999999999996</v>
      </c>
    </row>
    <row r="65" spans="1:8" ht="27" x14ac:dyDescent="0.35">
      <c r="A65" s="17" t="s">
        <v>2628</v>
      </c>
      <c r="B65" s="10" t="str">
        <f>VLOOKUP(A65,'ITEM LIST'!A:D,3,FALSE)</f>
        <v>CASHEW BRITTLE, 15G/PK, PK</v>
      </c>
      <c r="C65" s="10"/>
      <c r="D65" s="10"/>
      <c r="E65" s="18">
        <v>28</v>
      </c>
      <c r="F65" s="18" t="str">
        <f>VLOOKUP(A65,'ITEM LIST'!A:D,4,FALSE)</f>
        <v>PK</v>
      </c>
      <c r="G65" s="19">
        <v>147.24367241379309</v>
      </c>
      <c r="H65" s="20">
        <v>164.91291310344826</v>
      </c>
    </row>
    <row r="66" spans="1:8" ht="24.75" customHeight="1" x14ac:dyDescent="0.35">
      <c r="A66" s="17" t="s">
        <v>4019</v>
      </c>
      <c r="B66" s="10" t="str">
        <f>VLOOKUP(A66,'ITEM LIST'!A:D,3,FALSE)</f>
        <v>COFFEE CRUNCH,  70 G/PK, PK</v>
      </c>
      <c r="C66" s="10"/>
      <c r="D66" s="10"/>
      <c r="E66" s="18">
        <v>40</v>
      </c>
      <c r="F66" s="18" t="str">
        <f>VLOOKUP(A66,'ITEM LIST'!A:D,4,FALSE)</f>
        <v>PK</v>
      </c>
      <c r="G66" s="19">
        <v>476</v>
      </c>
      <c r="H66" s="20">
        <v>533.12</v>
      </c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305286.71773163305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32709.291185532111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272577.42654610093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272577.42654610093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32709.291185532111</v>
      </c>
      <c r="G83" s="38"/>
      <c r="H83" s="35">
        <f>F83</f>
        <v>32709.291185532111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2725.7742654610092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302560.94346617203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2E58-798A-4DAE-9451-6C8E0047576D}">
  <sheetPr>
    <pageSetUpPr fitToPage="1"/>
  </sheetPr>
  <dimension ref="A10:H86"/>
  <sheetViews>
    <sheetView view="pageBreakPreview" topLeftCell="A45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5275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4021</v>
      </c>
      <c r="B27" s="10" t="str">
        <f>VLOOKUP(A27,'ITEM LIST'!A:D,3,FALSE)</f>
        <v>CHOCOLATE JAVA CAKE, PC</v>
      </c>
      <c r="C27" s="10"/>
      <c r="D27" s="10"/>
      <c r="E27" s="18">
        <v>40</v>
      </c>
      <c r="F27" s="18" t="str">
        <f>VLOOKUP(A27,'ITEM LIST'!A:D,4,FALSE)</f>
        <v>PC</v>
      </c>
      <c r="G27" s="19">
        <v>17412.499999999996</v>
      </c>
      <c r="H27" s="20">
        <v>19501.999999999996</v>
      </c>
    </row>
    <row r="28" spans="1:8" ht="27" x14ac:dyDescent="0.35">
      <c r="A28" s="17" t="s">
        <v>3058</v>
      </c>
      <c r="B28" s="10" t="str">
        <f>VLOOKUP(A28,'ITEM LIST'!A:D,3,FALSE)</f>
        <v>SEA SALTED CRUNCH 140 GM</v>
      </c>
      <c r="C28" s="10"/>
      <c r="D28" s="10"/>
      <c r="E28" s="18">
        <v>40</v>
      </c>
      <c r="F28" s="18" t="str">
        <f>VLOOKUP(A28,'ITEM LIST'!A:D,4,FALSE)</f>
        <v>PK</v>
      </c>
      <c r="G28" s="19">
        <v>525.31999999999994</v>
      </c>
      <c r="H28" s="20">
        <v>588.35839999999996</v>
      </c>
    </row>
    <row r="29" spans="1:8" ht="27" x14ac:dyDescent="0.35">
      <c r="A29" s="17" t="s">
        <v>2626</v>
      </c>
      <c r="B29" s="10" t="str">
        <f>VLOOKUP(A29,'ITEM LIST'!A:D,3,FALSE)</f>
        <v>MIDNIGHT DREAM CAKE, PC</v>
      </c>
      <c r="C29" s="10"/>
      <c r="D29" s="10"/>
      <c r="E29" s="18">
        <v>28</v>
      </c>
      <c r="F29" s="18" t="str">
        <f>VLOOKUP(A29,'ITEM LIST'!A:D,4,FALSE)</f>
        <v>PC</v>
      </c>
      <c r="G29" s="19">
        <v>13046.25</v>
      </c>
      <c r="H29" s="20">
        <v>14611.8</v>
      </c>
    </row>
    <row r="30" spans="1:8" ht="27" x14ac:dyDescent="0.35">
      <c r="A30" s="17" t="s">
        <v>3030</v>
      </c>
      <c r="B30" s="10" t="str">
        <f>VLOOKUP(A30,'ITEM LIST'!A:D,3,FALSE)</f>
        <v>OREO COOKIES N' CREAM, 4.5KG./TRAY</v>
      </c>
      <c r="C30" s="10"/>
      <c r="D30" s="10"/>
      <c r="E30" s="18">
        <v>1</v>
      </c>
      <c r="F30" s="18" t="str">
        <f>VLOOKUP(A30,'ITEM LIST'!A:D,4,FALSE)</f>
        <v>TR</v>
      </c>
      <c r="G30" s="19">
        <v>2362.5</v>
      </c>
      <c r="H30" s="20">
        <v>2646</v>
      </c>
    </row>
    <row r="31" spans="1:8" ht="27" x14ac:dyDescent="0.35">
      <c r="A31" s="17" t="s">
        <v>3020</v>
      </c>
      <c r="B31" s="10" t="str">
        <f>VLOOKUP(A31,'ITEM LIST'!A:D,3,FALSE)</f>
        <v>CHOCOLATE THERAPY GELATO, 4.5/TRAY</v>
      </c>
      <c r="C31" s="10"/>
      <c r="D31" s="10"/>
      <c r="E31" s="18">
        <v>0.56000000000000005</v>
      </c>
      <c r="F31" s="18" t="str">
        <f>VLOOKUP(A31,'ITEM LIST'!A:D,4,FALSE)</f>
        <v>TR</v>
      </c>
      <c r="G31" s="19">
        <v>1323.0000000000002</v>
      </c>
      <c r="H31" s="20">
        <v>1481.7600000000002</v>
      </c>
    </row>
    <row r="32" spans="1:8" ht="27" x14ac:dyDescent="0.35">
      <c r="A32" s="17" t="s">
        <v>3014</v>
      </c>
      <c r="B32" s="10" t="str">
        <f>VLOOKUP(A32,'ITEM LIST'!A:D,3,FALSE)</f>
        <v>STRAWBERRY GELATO, 2.5 KG TRAY</v>
      </c>
      <c r="C32" s="10"/>
      <c r="D32" s="10"/>
      <c r="E32" s="18">
        <v>1</v>
      </c>
      <c r="F32" s="18" t="str">
        <f>VLOOKUP(A32,'ITEM LIST'!A:D,4,FALSE)</f>
        <v>TR</v>
      </c>
      <c r="G32" s="19">
        <v>1312.5</v>
      </c>
      <c r="H32" s="20">
        <v>1470</v>
      </c>
    </row>
    <row r="33" spans="1:8" ht="27" x14ac:dyDescent="0.35">
      <c r="A33" s="17" t="s">
        <v>2762</v>
      </c>
      <c r="B33" s="10" t="str">
        <f>VLOOKUP(A33,'ITEM LIST'!A:D,3,FALSE)</f>
        <v>TURTLE PIE, 2.5KG/TRAY</v>
      </c>
      <c r="C33" s="10"/>
      <c r="D33" s="10"/>
      <c r="E33" s="18">
        <v>1</v>
      </c>
      <c r="F33" s="18" t="str">
        <f>VLOOKUP(A33,'ITEM LIST'!A:D,4,FALSE)</f>
        <v>TR</v>
      </c>
      <c r="G33" s="19">
        <v>1312.5</v>
      </c>
      <c r="H33" s="20">
        <v>1470</v>
      </c>
    </row>
    <row r="34" spans="1:8" ht="27" x14ac:dyDescent="0.35">
      <c r="A34" s="17" t="s">
        <v>2222</v>
      </c>
      <c r="B34" s="10" t="str">
        <f>VLOOKUP(A34,'ITEM LIST'!A:D,3,FALSE)</f>
        <v>NEW FERRERO, 2.5KG/TRAY</v>
      </c>
      <c r="C34" s="10"/>
      <c r="D34" s="10"/>
      <c r="E34" s="18">
        <v>1</v>
      </c>
      <c r="F34" s="18" t="str">
        <f>VLOOKUP(A34,'ITEM LIST'!A:D,4,FALSE)</f>
        <v>TR</v>
      </c>
      <c r="G34" s="19">
        <v>1312.4999999999998</v>
      </c>
      <c r="H34" s="20">
        <v>1469.9999999999998</v>
      </c>
    </row>
    <row r="35" spans="1:8" ht="27" x14ac:dyDescent="0.35">
      <c r="A35" s="17" t="s">
        <v>3762</v>
      </c>
      <c r="B35" s="10" t="str">
        <f>VLOOKUP(A35,'ITEM LIST'!A:D,3,FALSE)</f>
        <v>UBE GELATO, 2.5 KG/TRAY</v>
      </c>
      <c r="C35" s="10"/>
      <c r="D35" s="10"/>
      <c r="E35" s="18">
        <v>1</v>
      </c>
      <c r="F35" s="18" t="str">
        <f>VLOOKUP(A35,'ITEM LIST'!A:D,4,FALSE)</f>
        <v>TR</v>
      </c>
      <c r="G35" s="19">
        <v>1312.5</v>
      </c>
      <c r="H35" s="20">
        <v>1470</v>
      </c>
    </row>
    <row r="36" spans="1:8" ht="27" x14ac:dyDescent="0.35">
      <c r="A36" s="17" t="s">
        <v>3780</v>
      </c>
      <c r="B36" s="10" t="str">
        <f>VLOOKUP(A36,'ITEM LIST'!A:D,3,FALSE)</f>
        <v>RED GLAZE, 100G/PK</v>
      </c>
      <c r="C36" s="10"/>
      <c r="D36" s="10"/>
      <c r="E36" s="18">
        <v>1</v>
      </c>
      <c r="F36" s="18" t="str">
        <f>VLOOKUP(A36,'ITEM LIST'!A:D,4,FALSE)</f>
        <v>PK</v>
      </c>
      <c r="G36" s="19">
        <v>23.470076838733426</v>
      </c>
      <c r="H36" s="20">
        <v>26.286486059381438</v>
      </c>
    </row>
    <row r="37" spans="1:8" ht="27" x14ac:dyDescent="0.35">
      <c r="A37" s="17" t="s">
        <v>2296</v>
      </c>
      <c r="B37" s="10" t="str">
        <f>VLOOKUP(A37,'ITEM LIST'!A:D,3,FALSE)</f>
        <v>BLANK HAPPY BIRTHDAY LABEL, 24PCS/BX</v>
      </c>
      <c r="C37" s="10"/>
      <c r="D37" s="10"/>
      <c r="E37" s="18">
        <v>6</v>
      </c>
      <c r="F37" s="18" t="str">
        <f>VLOOKUP(A37,'ITEM LIST'!A:D,4,FALSE)</f>
        <v>BX</v>
      </c>
      <c r="G37" s="19">
        <v>932.97679200000016</v>
      </c>
      <c r="H37" s="20">
        <v>1044.9340070400001</v>
      </c>
    </row>
    <row r="38" spans="1:8" ht="27" x14ac:dyDescent="0.35">
      <c r="A38" s="17" t="s">
        <v>2294</v>
      </c>
      <c r="B38" s="10" t="str">
        <f>VLOOKUP(A38,'ITEM LIST'!A:D,3,FALSE)</f>
        <v>PIPING CHOCOLATE, 200G/PK</v>
      </c>
      <c r="C38" s="10"/>
      <c r="D38" s="10"/>
      <c r="E38" s="18">
        <v>4</v>
      </c>
      <c r="F38" s="18" t="str">
        <f>VLOOKUP(A38,'ITEM LIST'!A:D,4,FALSE)</f>
        <v>PK</v>
      </c>
      <c r="G38" s="19">
        <v>184.037094</v>
      </c>
      <c r="H38" s="20">
        <v>206.12154527999999</v>
      </c>
    </row>
    <row r="39" spans="1:8" ht="27" x14ac:dyDescent="0.35">
      <c r="A39" s="17" t="s">
        <v>3014</v>
      </c>
      <c r="B39" s="10" t="str">
        <f>VLOOKUP(A39,'ITEM LIST'!A:D,3,FALSE)</f>
        <v>STRAWBERRY GELATO, 2.5 KG TRAY</v>
      </c>
      <c r="C39" s="10"/>
      <c r="D39" s="10"/>
      <c r="E39" s="18">
        <v>1</v>
      </c>
      <c r="F39" s="18" t="str">
        <f>VLOOKUP(A39,'ITEM LIST'!A:D,4,FALSE)</f>
        <v>TR</v>
      </c>
      <c r="G39" s="19">
        <v>1312.5</v>
      </c>
      <c r="H39" s="20">
        <v>1470</v>
      </c>
    </row>
    <row r="40" spans="1:8" ht="27" x14ac:dyDescent="0.35">
      <c r="A40" s="17" t="s">
        <v>3018</v>
      </c>
      <c r="B40" s="10" t="str">
        <f>VLOOKUP(A40,'ITEM LIST'!A:D,3,FALSE)</f>
        <v>BLUEBERRY CHEESECAKE GELATO, 4.5KG/TRAY</v>
      </c>
      <c r="C40" s="10"/>
      <c r="D40" s="10"/>
      <c r="E40" s="18">
        <v>0.56000000000000005</v>
      </c>
      <c r="F40" s="18" t="str">
        <f>VLOOKUP(A40,'ITEM LIST'!A:D,4,FALSE)</f>
        <v>TR</v>
      </c>
      <c r="G40" s="19">
        <v>1323.0000000000002</v>
      </c>
      <c r="H40" s="20">
        <v>1481.7600000000002</v>
      </c>
    </row>
    <row r="41" spans="1:8" ht="27" x14ac:dyDescent="0.35">
      <c r="A41" s="17" t="s">
        <v>3030</v>
      </c>
      <c r="B41" s="10" t="str">
        <f>VLOOKUP(A41,'ITEM LIST'!A:D,3,FALSE)</f>
        <v>OREO COOKIES N' CREAM, 4.5KG./TRAY</v>
      </c>
      <c r="C41" s="10"/>
      <c r="D41" s="10"/>
      <c r="E41" s="18">
        <v>0.56000000000000005</v>
      </c>
      <c r="F41" s="18" t="str">
        <f>VLOOKUP(A41,'ITEM LIST'!A:D,4,FALSE)</f>
        <v>TR</v>
      </c>
      <c r="G41" s="19">
        <v>1323.0000000000002</v>
      </c>
      <c r="H41" s="20">
        <v>1481.7600000000002</v>
      </c>
    </row>
    <row r="42" spans="1:8" ht="27" x14ac:dyDescent="0.35">
      <c r="A42" s="17" t="s">
        <v>3064</v>
      </c>
      <c r="B42" s="10" t="str">
        <f>VLOOKUP(A42,'ITEM LIST'!A:D,3,FALSE)</f>
        <v>MANGO CREAM PIE 4.5 KG</v>
      </c>
      <c r="C42" s="10"/>
      <c r="D42" s="10"/>
      <c r="E42" s="18">
        <v>0.56000000000000005</v>
      </c>
      <c r="F42" s="18" t="str">
        <f>VLOOKUP(A42,'ITEM LIST'!A:D,4,FALSE)</f>
        <v>TR</v>
      </c>
      <c r="G42" s="19">
        <v>1188</v>
      </c>
      <c r="H42" s="20">
        <v>1330.56</v>
      </c>
    </row>
    <row r="43" spans="1:8" ht="27" x14ac:dyDescent="0.35">
      <c r="A43" s="17" t="s">
        <v>3762</v>
      </c>
      <c r="B43" s="10" t="str">
        <f>VLOOKUP(A43,'ITEM LIST'!A:D,3,FALSE)</f>
        <v>UBE GELATO, 2.5 KG/TRAY</v>
      </c>
      <c r="C43" s="10"/>
      <c r="D43" s="10"/>
      <c r="E43" s="18">
        <v>1</v>
      </c>
      <c r="F43" s="18" t="str">
        <f>VLOOKUP(A43,'ITEM LIST'!A:D,4,FALSE)</f>
        <v>TR</v>
      </c>
      <c r="G43" s="19">
        <v>1312.5</v>
      </c>
      <c r="H43" s="20">
        <v>1470</v>
      </c>
    </row>
    <row r="44" spans="1:8" ht="27" x14ac:dyDescent="0.35">
      <c r="A44" s="17" t="s">
        <v>2222</v>
      </c>
      <c r="B44" s="10" t="str">
        <f>VLOOKUP(A44,'ITEM LIST'!A:D,3,FALSE)</f>
        <v>NEW FERRERO, 2.5KG/TRAY</v>
      </c>
      <c r="C44" s="10"/>
      <c r="D44" s="10"/>
      <c r="E44" s="18">
        <v>1</v>
      </c>
      <c r="F44" s="18" t="str">
        <f>VLOOKUP(A44,'ITEM LIST'!A:D,4,FALSE)</f>
        <v>TR</v>
      </c>
      <c r="G44" s="19">
        <v>1312.4999999999998</v>
      </c>
      <c r="H44" s="20">
        <v>1469.9999999999998</v>
      </c>
    </row>
    <row r="45" spans="1:8" ht="27" x14ac:dyDescent="0.35">
      <c r="A45" s="17" t="s">
        <v>2762</v>
      </c>
      <c r="B45" s="10" t="str">
        <f>VLOOKUP(A45,'ITEM LIST'!A:D,3,FALSE)</f>
        <v>TURTLE PIE, 2.5KG/TRAY</v>
      </c>
      <c r="C45" s="10"/>
      <c r="D45" s="10"/>
      <c r="E45" s="18">
        <v>1</v>
      </c>
      <c r="F45" s="18" t="str">
        <f>VLOOKUP(A45,'ITEM LIST'!A:D,4,FALSE)</f>
        <v>TR</v>
      </c>
      <c r="G45" s="19">
        <v>1312.5</v>
      </c>
      <c r="H45" s="20">
        <v>1470</v>
      </c>
    </row>
    <row r="46" spans="1:8" ht="27" x14ac:dyDescent="0.35">
      <c r="A46" s="17" t="s">
        <v>2628</v>
      </c>
      <c r="B46" s="10" t="str">
        <f>VLOOKUP(A46,'ITEM LIST'!A:D,3,FALSE)</f>
        <v>CASHEW BRITTLE, 15G/PK, PK</v>
      </c>
      <c r="C46" s="10"/>
      <c r="D46" s="10"/>
      <c r="E46" s="18">
        <v>13</v>
      </c>
      <c r="F46" s="18" t="str">
        <f>VLOOKUP(A46,'ITEM LIST'!A:D,4,FALSE)</f>
        <v>PK</v>
      </c>
      <c r="G46" s="19">
        <v>68.363133620689652</v>
      </c>
      <c r="H46" s="20">
        <v>76.566709655172417</v>
      </c>
    </row>
    <row r="47" spans="1:8" ht="27" x14ac:dyDescent="0.35">
      <c r="A47" s="17" t="s">
        <v>2294</v>
      </c>
      <c r="B47" s="10" t="str">
        <f>VLOOKUP(A47,'ITEM LIST'!A:D,3,FALSE)</f>
        <v>PIPING CHOCOLATE, 200G/PK</v>
      </c>
      <c r="C47" s="10"/>
      <c r="D47" s="10"/>
      <c r="E47" s="18">
        <v>7</v>
      </c>
      <c r="F47" s="18" t="str">
        <f>VLOOKUP(A47,'ITEM LIST'!A:D,4,FALSE)</f>
        <v>PK</v>
      </c>
      <c r="G47" s="19">
        <v>322.06491449999999</v>
      </c>
      <c r="H47" s="20">
        <v>360.71270423999999</v>
      </c>
    </row>
    <row r="48" spans="1:8" ht="27" x14ac:dyDescent="0.35">
      <c r="A48" s="17" t="s">
        <v>2274</v>
      </c>
      <c r="B48" s="10" t="str">
        <f>VLOOKUP(A48,'ITEM LIST'!A:D,3,FALSE)</f>
        <v>STRAWBERRY FROZEN, 150G / PACK</v>
      </c>
      <c r="C48" s="10"/>
      <c r="D48" s="10"/>
      <c r="E48" s="18">
        <v>2</v>
      </c>
      <c r="F48" s="18" t="str">
        <f>VLOOKUP(A48,'ITEM LIST'!A:D,4,FALSE)</f>
        <v>PK</v>
      </c>
      <c r="G48" s="19">
        <v>71.16</v>
      </c>
      <c r="H48" s="20">
        <v>79.69919999999999</v>
      </c>
    </row>
    <row r="49" spans="1:8" ht="27" x14ac:dyDescent="0.35">
      <c r="A49" s="17" t="s">
        <v>2296</v>
      </c>
      <c r="B49" s="10" t="str">
        <f>VLOOKUP(A49,'ITEM LIST'!A:D,3,FALSE)</f>
        <v>BLANK HAPPY BIRTHDAY LABEL, 24PCS/BX</v>
      </c>
      <c r="C49" s="10"/>
      <c r="D49" s="10"/>
      <c r="E49" s="18">
        <v>14</v>
      </c>
      <c r="F49" s="18" t="str">
        <f>VLOOKUP(A49,'ITEM LIST'!A:D,4,FALSE)</f>
        <v>BX</v>
      </c>
      <c r="G49" s="19">
        <v>2176.9458480000003</v>
      </c>
      <c r="H49" s="20">
        <v>2438.1793497600002</v>
      </c>
    </row>
    <row r="50" spans="1:8" ht="27" x14ac:dyDescent="0.35">
      <c r="A50" s="17" t="s">
        <v>4019</v>
      </c>
      <c r="B50" s="10" t="str">
        <f>VLOOKUP(A50,'ITEM LIST'!A:D,3,FALSE)</f>
        <v>COFFEE CRUNCH,  70 G/PK, PK</v>
      </c>
      <c r="C50" s="10"/>
      <c r="D50" s="10"/>
      <c r="E50" s="18">
        <v>10</v>
      </c>
      <c r="F50" s="18" t="str">
        <f>VLOOKUP(A50,'ITEM LIST'!A:D,4,FALSE)</f>
        <v>PK</v>
      </c>
      <c r="G50" s="19">
        <v>119</v>
      </c>
      <c r="H50" s="20">
        <v>133.28</v>
      </c>
    </row>
    <row r="51" spans="1:8" ht="27" x14ac:dyDescent="0.35">
      <c r="A51" s="17" t="s">
        <v>4021</v>
      </c>
      <c r="B51" s="10" t="str">
        <f>VLOOKUP(A51,'ITEM LIST'!A:D,3,FALSE)</f>
        <v>CHOCOLATE JAVA CAKE, PC</v>
      </c>
      <c r="C51" s="10"/>
      <c r="D51" s="10"/>
      <c r="E51" s="18">
        <v>10</v>
      </c>
      <c r="F51" s="18" t="str">
        <f>VLOOKUP(A51,'ITEM LIST'!A:D,4,FALSE)</f>
        <v>PC</v>
      </c>
      <c r="G51" s="19">
        <v>4353.1249999999991</v>
      </c>
      <c r="H51" s="20">
        <v>4875.4999999999991</v>
      </c>
    </row>
    <row r="52" spans="1:8" ht="27" x14ac:dyDescent="0.35">
      <c r="A52" s="17" t="s">
        <v>3939</v>
      </c>
      <c r="B52" s="10" t="str">
        <f>VLOOKUP(A52,'ITEM LIST'!A:D,3,FALSE)</f>
        <v>SALTED CHOCOLATE SMORES CAKE, NEW, PC</v>
      </c>
      <c r="C52" s="10"/>
      <c r="D52" s="10"/>
      <c r="E52" s="18">
        <v>10</v>
      </c>
      <c r="F52" s="18" t="str">
        <f>VLOOKUP(A52,'ITEM LIST'!A:D,4,FALSE)</f>
        <v>PC</v>
      </c>
      <c r="G52" s="19">
        <v>4571.8749999999991</v>
      </c>
      <c r="H52" s="20">
        <v>5120.4999999999991</v>
      </c>
    </row>
    <row r="53" spans="1:8" ht="27" x14ac:dyDescent="0.35">
      <c r="A53" s="17" t="s">
        <v>3798</v>
      </c>
      <c r="B53" s="10" t="str">
        <f>VLOOKUP(A53,'ITEM LIST'!A:D,3,FALSE)</f>
        <v>MANGO MAGNIFICO CAKE, WHOLE, NEW DESIGN</v>
      </c>
      <c r="C53" s="10"/>
      <c r="D53" s="10"/>
      <c r="E53" s="18">
        <v>12</v>
      </c>
      <c r="F53" s="18" t="str">
        <f>VLOOKUP(A53,'ITEM LIST'!A:D,4,FALSE)</f>
        <v>PC</v>
      </c>
      <c r="G53" s="19">
        <v>5486.2499999999991</v>
      </c>
      <c r="H53" s="20">
        <v>6144.5999999999985</v>
      </c>
    </row>
    <row r="54" spans="1:8" ht="27" x14ac:dyDescent="0.35">
      <c r="A54" s="17" t="s">
        <v>2626</v>
      </c>
      <c r="B54" s="10" t="str">
        <f>VLOOKUP(A54,'ITEM LIST'!A:D,3,FALSE)</f>
        <v>MIDNIGHT DREAM CAKE, PC</v>
      </c>
      <c r="C54" s="10"/>
      <c r="D54" s="10"/>
      <c r="E54" s="18">
        <v>13</v>
      </c>
      <c r="F54" s="18" t="str">
        <f>VLOOKUP(A54,'ITEM LIST'!A:D,4,FALSE)</f>
        <v>PC</v>
      </c>
      <c r="G54" s="19">
        <v>6057.1875</v>
      </c>
      <c r="H54" s="20">
        <v>6784.05</v>
      </c>
    </row>
    <row r="55" spans="1:8" ht="27" x14ac:dyDescent="0.35">
      <c r="A55" s="17" t="s">
        <v>2460</v>
      </c>
      <c r="B55" s="10" t="str">
        <f>VLOOKUP(A55,'ITEM LIST'!A:D,3,FALSE)</f>
        <v>PISTACCHOCOLATO, WHOLE</v>
      </c>
      <c r="C55" s="10"/>
      <c r="D55" s="10"/>
      <c r="E55" s="18">
        <v>8</v>
      </c>
      <c r="F55" s="18" t="str">
        <f>VLOOKUP(A55,'ITEM LIST'!A:D,4,FALSE)</f>
        <v>PC</v>
      </c>
      <c r="G55" s="19">
        <v>3832.4999999999991</v>
      </c>
      <c r="H55" s="20">
        <v>4292.3999999999987</v>
      </c>
    </row>
    <row r="56" spans="1:8" ht="27" x14ac:dyDescent="0.35">
      <c r="A56" s="17" t="s">
        <v>3702</v>
      </c>
      <c r="B56" s="10" t="str">
        <f>VLOOKUP(A56,'ITEM LIST'!A:D,3,FALSE)</f>
        <v>UBE CAKE, PC</v>
      </c>
      <c r="C56" s="10"/>
      <c r="D56" s="10"/>
      <c r="E56" s="18">
        <v>25</v>
      </c>
      <c r="F56" s="18" t="str">
        <f>VLOOKUP(A56,'ITEM LIST'!A:D,4,FALSE)</f>
        <v>PC</v>
      </c>
      <c r="G56" s="19">
        <v>11429.687499999998</v>
      </c>
      <c r="H56" s="20">
        <v>12801.249999999998</v>
      </c>
    </row>
    <row r="57" spans="1:8" ht="27" x14ac:dyDescent="0.35">
      <c r="A57" s="17" t="s">
        <v>3058</v>
      </c>
      <c r="B57" s="10" t="str">
        <f>VLOOKUP(A57,'ITEM LIST'!A:D,3,FALSE)</f>
        <v>SEA SALTED CRUNCH 140 GM</v>
      </c>
      <c r="C57" s="10"/>
      <c r="D57" s="10"/>
      <c r="E57" s="18">
        <v>10</v>
      </c>
      <c r="F57" s="18" t="str">
        <f>VLOOKUP(A57,'ITEM LIST'!A:D,4,FALSE)</f>
        <v>PK</v>
      </c>
      <c r="G57" s="19">
        <v>131.32999999999998</v>
      </c>
      <c r="H57" s="20">
        <v>147.08959999999999</v>
      </c>
    </row>
    <row r="58" spans="1:8" ht="27" x14ac:dyDescent="0.35">
      <c r="A58" s="17" t="s">
        <v>2682</v>
      </c>
      <c r="B58" s="10" t="str">
        <f>VLOOKUP(A58,'ITEM LIST'!A:D,3,FALSE)</f>
        <v>SEA SALTED HONEY CRUNCH CAKE</v>
      </c>
      <c r="C58" s="10"/>
      <c r="D58" s="10"/>
      <c r="E58" s="18">
        <v>10</v>
      </c>
      <c r="F58" s="18" t="str">
        <f>VLOOKUP(A58,'ITEM LIST'!A:D,4,FALSE)</f>
        <v>PC</v>
      </c>
      <c r="G58" s="19">
        <v>3784.3749999999995</v>
      </c>
      <c r="H58" s="20">
        <v>4238.4999999999991</v>
      </c>
    </row>
    <row r="59" spans="1:8" ht="27" x14ac:dyDescent="0.35">
      <c r="A59" s="17" t="s">
        <v>3798</v>
      </c>
      <c r="B59" s="10" t="str">
        <f>VLOOKUP(A59,'ITEM LIST'!A:D,3,FALSE)</f>
        <v>MANGO MAGNIFICO CAKE, WHOLE, NEW DESIGN</v>
      </c>
      <c r="C59" s="10"/>
      <c r="D59" s="10"/>
      <c r="E59" s="18">
        <v>12</v>
      </c>
      <c r="F59" s="18" t="str">
        <f>VLOOKUP(A59,'ITEM LIST'!A:D,4,FALSE)</f>
        <v>PC</v>
      </c>
      <c r="G59" s="19">
        <v>5486.2499999999991</v>
      </c>
      <c r="H59" s="20">
        <v>6144.5999999999985</v>
      </c>
    </row>
    <row r="60" spans="1:8" ht="27" x14ac:dyDescent="0.35">
      <c r="A60" s="17" t="s">
        <v>2706</v>
      </c>
      <c r="B60" s="10" t="str">
        <f>VLOOKUP(A60,'ITEM LIST'!A:D,3,FALSE)</f>
        <v>HONEY SEA SALTED CRUNCH (DUMMY), PC</v>
      </c>
      <c r="C60" s="10"/>
      <c r="D60" s="10"/>
      <c r="E60" s="18">
        <v>1</v>
      </c>
      <c r="F60" s="18" t="str">
        <f>VLOOKUP(A60,'ITEM LIST'!A:D,4,FALSE)</f>
        <v>PC</v>
      </c>
      <c r="G60" s="19">
        <v>51.42</v>
      </c>
      <c r="H60" s="20">
        <v>57.590400000000002</v>
      </c>
    </row>
    <row r="61" spans="1:8" ht="27" x14ac:dyDescent="0.35">
      <c r="A61" s="17" t="s">
        <v>4023</v>
      </c>
      <c r="B61" s="10" t="str">
        <f>VLOOKUP(A61,'ITEM LIST'!A:D,3,FALSE)</f>
        <v>CHOCOLATE JAVA CAKE, DUMMY</v>
      </c>
      <c r="C61" s="10"/>
      <c r="D61" s="10"/>
      <c r="E61" s="18">
        <v>1</v>
      </c>
      <c r="F61" s="18" t="str">
        <f>VLOOKUP(A61,'ITEM LIST'!A:D,4,FALSE)</f>
        <v>PC</v>
      </c>
      <c r="G61" s="19">
        <v>150</v>
      </c>
      <c r="H61" s="20">
        <v>168</v>
      </c>
    </row>
    <row r="62" spans="1:8" ht="27" x14ac:dyDescent="0.35">
      <c r="A62" s="17" t="s">
        <v>3591</v>
      </c>
      <c r="B62" s="10" t="str">
        <f>VLOOKUP(A62,'ITEM LIST'!A:D,3,FALSE)</f>
        <v>MIDNIGHT DREAM CAKE, WHOLE, MINI</v>
      </c>
      <c r="C62" s="10"/>
      <c r="D62" s="10"/>
      <c r="E62" s="18">
        <v>5</v>
      </c>
      <c r="F62" s="18" t="str">
        <f>VLOOKUP(A62,'ITEM LIST'!A:D,4,FALSE)</f>
        <v>PC</v>
      </c>
      <c r="G62" s="19">
        <v>1629.6875</v>
      </c>
      <c r="H62" s="20">
        <v>1825.25</v>
      </c>
    </row>
    <row r="63" spans="1:8" ht="27" x14ac:dyDescent="0.35">
      <c r="A63" s="17" t="s">
        <v>2274</v>
      </c>
      <c r="B63" s="10" t="str">
        <f>VLOOKUP(A63,'ITEM LIST'!A:D,3,FALSE)</f>
        <v>STRAWBERRY FROZEN, 150G / PACK</v>
      </c>
      <c r="C63" s="10"/>
      <c r="D63" s="10"/>
      <c r="E63" s="18">
        <v>1</v>
      </c>
      <c r="F63" s="18" t="str">
        <f>VLOOKUP(A63,'ITEM LIST'!A:D,4,FALSE)</f>
        <v>PK</v>
      </c>
      <c r="G63" s="19">
        <v>35.58</v>
      </c>
      <c r="H63" s="20">
        <v>39.849599999999995</v>
      </c>
    </row>
    <row r="64" spans="1:8" ht="29.25" customHeight="1" x14ac:dyDescent="0.35">
      <c r="A64" s="17" t="s">
        <v>2294</v>
      </c>
      <c r="B64" s="10" t="str">
        <f>VLOOKUP(A64,'ITEM LIST'!A:D,3,FALSE)</f>
        <v>PIPING CHOCOLATE, 200G/PK</v>
      </c>
      <c r="C64" s="10"/>
      <c r="D64" s="10"/>
      <c r="E64" s="18">
        <v>2</v>
      </c>
      <c r="F64" s="18" t="str">
        <f>VLOOKUP(A64,'ITEM LIST'!A:D,4,FALSE)</f>
        <v>PK</v>
      </c>
      <c r="G64" s="19">
        <v>92.018546999999998</v>
      </c>
      <c r="H64" s="20">
        <v>103.06077264</v>
      </c>
    </row>
    <row r="65" spans="1:8" ht="27" x14ac:dyDescent="0.35">
      <c r="A65" s="17" t="s">
        <v>2296</v>
      </c>
      <c r="B65" s="10" t="str">
        <f>VLOOKUP(A65,'ITEM LIST'!A:D,3,FALSE)</f>
        <v>BLANK HAPPY BIRTHDAY LABEL, 24PCS/BX</v>
      </c>
      <c r="C65" s="10"/>
      <c r="D65" s="10"/>
      <c r="E65" s="18">
        <v>4</v>
      </c>
      <c r="F65" s="18" t="str">
        <f>VLOOKUP(A65,'ITEM LIST'!A:D,4,FALSE)</f>
        <v>BX</v>
      </c>
      <c r="G65" s="19">
        <v>621.98452800000007</v>
      </c>
      <c r="H65" s="20">
        <v>696.62267136000003</v>
      </c>
    </row>
    <row r="66" spans="1:8" ht="24.75" customHeight="1" x14ac:dyDescent="0.35">
      <c r="A66" s="17" t="s">
        <v>2222</v>
      </c>
      <c r="B66" s="10" t="str">
        <f>VLOOKUP(A66,'ITEM LIST'!A:D,3,FALSE)</f>
        <v>NEW FERRERO, 2.5KG/TRAY</v>
      </c>
      <c r="C66" s="10"/>
      <c r="D66" s="10"/>
      <c r="E66" s="18">
        <v>1</v>
      </c>
      <c r="F66" s="18" t="str">
        <f>VLOOKUP(A66,'ITEM LIST'!A:D,4,FALSE)</f>
        <v>TR</v>
      </c>
      <c r="G66" s="19">
        <v>1312.4999999999998</v>
      </c>
      <c r="H66" s="20">
        <v>1469.9999999999998</v>
      </c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114158.64144603455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12231.28301207513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101927.35843395942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101927.35843395942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12231.28301207513</v>
      </c>
      <c r="G83" s="38"/>
      <c r="H83" s="35">
        <f>F83</f>
        <v>12231.28301207513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1019.2735843395942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113139.36786169496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40B6-BED6-48CF-806C-013987027C8C}">
  <sheetPr>
    <pageSetUpPr fitToPage="1"/>
  </sheetPr>
  <dimension ref="A10:H86"/>
  <sheetViews>
    <sheetView view="pageBreakPreview" topLeftCell="A41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5276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2224</v>
      </c>
      <c r="B27" s="10" t="str">
        <f>VLOOKUP(A27,'ITEM LIST'!A:D,3,FALSE)</f>
        <v>NEW MINT, 2.5KG/TRAY</v>
      </c>
      <c r="C27" s="10"/>
      <c r="D27" s="10"/>
      <c r="E27" s="18">
        <v>1</v>
      </c>
      <c r="F27" s="18" t="str">
        <f>VLOOKUP(A27,'ITEM LIST'!A:D,4,FALSE)</f>
        <v>TR</v>
      </c>
      <c r="G27" s="19">
        <v>1312.4999999999998</v>
      </c>
      <c r="H27" s="20">
        <v>1469.9999999999998</v>
      </c>
    </row>
    <row r="28" spans="1:8" ht="27" x14ac:dyDescent="0.35">
      <c r="A28" s="17" t="s">
        <v>2234</v>
      </c>
      <c r="B28" s="10" t="str">
        <f>VLOOKUP(A28,'ITEM LIST'!A:D,3,FALSE)</f>
        <v>NEW PISTACHIO, 4.5KG/TRAY</v>
      </c>
      <c r="C28" s="10"/>
      <c r="D28" s="10"/>
      <c r="E28" s="18">
        <v>0.56000000000000005</v>
      </c>
      <c r="F28" s="18" t="str">
        <f>VLOOKUP(A28,'ITEM LIST'!A:D,4,FALSE)</f>
        <v>TR</v>
      </c>
      <c r="G28" s="19">
        <v>1323.0000000000002</v>
      </c>
      <c r="H28" s="20">
        <v>1481.7600000000002</v>
      </c>
    </row>
    <row r="29" spans="1:8" ht="27" x14ac:dyDescent="0.35">
      <c r="A29" s="17" t="s">
        <v>2574</v>
      </c>
      <c r="B29" s="10" t="str">
        <f>VLOOKUP(A29,'ITEM LIST'!A:D,3,FALSE)</f>
        <v>COOKIE DOUGH GELATO, 2.5/TRAY</v>
      </c>
      <c r="C29" s="10"/>
      <c r="D29" s="10"/>
      <c r="E29" s="18">
        <v>1</v>
      </c>
      <c r="F29" s="18" t="str">
        <f>VLOOKUP(A29,'ITEM LIST'!A:D,4,FALSE)</f>
        <v>TR</v>
      </c>
      <c r="G29" s="19">
        <v>1312.5</v>
      </c>
      <c r="H29" s="20">
        <v>1470</v>
      </c>
    </row>
    <row r="30" spans="1:8" ht="27" x14ac:dyDescent="0.35">
      <c r="A30" s="17" t="s">
        <v>2762</v>
      </c>
      <c r="B30" s="10" t="str">
        <f>VLOOKUP(A30,'ITEM LIST'!A:D,3,FALSE)</f>
        <v>TURTLE PIE, 2.5KG/TRAY</v>
      </c>
      <c r="C30" s="10"/>
      <c r="D30" s="10"/>
      <c r="E30" s="18">
        <v>1</v>
      </c>
      <c r="F30" s="18" t="str">
        <f>VLOOKUP(A30,'ITEM LIST'!A:D,4,FALSE)</f>
        <v>TR</v>
      </c>
      <c r="G30" s="19">
        <v>1312.5</v>
      </c>
      <c r="H30" s="20">
        <v>1470</v>
      </c>
    </row>
    <row r="31" spans="1:8" ht="27" x14ac:dyDescent="0.35">
      <c r="A31" s="17" t="s">
        <v>3014</v>
      </c>
      <c r="B31" s="10" t="str">
        <f>VLOOKUP(A31,'ITEM LIST'!A:D,3,FALSE)</f>
        <v>STRAWBERRY GELATO, 2.5 KG TRAY</v>
      </c>
      <c r="C31" s="10"/>
      <c r="D31" s="10"/>
      <c r="E31" s="18">
        <v>1</v>
      </c>
      <c r="F31" s="18" t="str">
        <f>VLOOKUP(A31,'ITEM LIST'!A:D,4,FALSE)</f>
        <v>TR</v>
      </c>
      <c r="G31" s="19">
        <v>1312.5</v>
      </c>
      <c r="H31" s="20">
        <v>1470</v>
      </c>
    </row>
    <row r="32" spans="1:8" ht="27" x14ac:dyDescent="0.35">
      <c r="A32" s="17" t="s">
        <v>3020</v>
      </c>
      <c r="B32" s="10" t="str">
        <f>VLOOKUP(A32,'ITEM LIST'!A:D,3,FALSE)</f>
        <v>CHOCOLATE THERAPY GELATO, 4.5/TRAY</v>
      </c>
      <c r="C32" s="10"/>
      <c r="D32" s="10"/>
      <c r="E32" s="18">
        <v>0.56000000000000005</v>
      </c>
      <c r="F32" s="18" t="str">
        <f>VLOOKUP(A32,'ITEM LIST'!A:D,4,FALSE)</f>
        <v>TR</v>
      </c>
      <c r="G32" s="19">
        <v>1323.0000000000002</v>
      </c>
      <c r="H32" s="20">
        <v>1481.7600000000002</v>
      </c>
    </row>
    <row r="33" spans="1:8" ht="27" x14ac:dyDescent="0.35">
      <c r="A33" s="17" t="s">
        <v>3030</v>
      </c>
      <c r="B33" s="10" t="str">
        <f>VLOOKUP(A33,'ITEM LIST'!A:D,3,FALSE)</f>
        <v>OREO COOKIES N' CREAM, 4.5KG./TRAY</v>
      </c>
      <c r="C33" s="10"/>
      <c r="D33" s="10"/>
      <c r="E33" s="18">
        <v>0.56000000000000005</v>
      </c>
      <c r="F33" s="18" t="str">
        <f>VLOOKUP(A33,'ITEM LIST'!A:D,4,FALSE)</f>
        <v>TR</v>
      </c>
      <c r="G33" s="19">
        <v>1323.0000000000002</v>
      </c>
      <c r="H33" s="20">
        <v>1481.7600000000002</v>
      </c>
    </row>
    <row r="34" spans="1:8" ht="27" x14ac:dyDescent="0.35">
      <c r="A34" s="17" t="s">
        <v>3064</v>
      </c>
      <c r="B34" s="10" t="str">
        <f>VLOOKUP(A34,'ITEM LIST'!A:D,3,FALSE)</f>
        <v>MANGO CREAM PIE 4.5 KG</v>
      </c>
      <c r="C34" s="10"/>
      <c r="D34" s="10"/>
      <c r="E34" s="18">
        <v>0.56000000000000005</v>
      </c>
      <c r="F34" s="18" t="str">
        <f>VLOOKUP(A34,'ITEM LIST'!A:D,4,FALSE)</f>
        <v>TR</v>
      </c>
      <c r="G34" s="19">
        <v>1188</v>
      </c>
      <c r="H34" s="20">
        <v>1330.56</v>
      </c>
    </row>
    <row r="35" spans="1:8" ht="27" x14ac:dyDescent="0.35">
      <c r="A35" s="17" t="s">
        <v>3615</v>
      </c>
      <c r="B35" s="10" t="str">
        <f>VLOOKUP(A35,'ITEM LIST'!A:D,3,FALSE)</f>
        <v>COFFEE MUDSLIDE GELATO, 2.5KGS./TRAY</v>
      </c>
      <c r="C35" s="10"/>
      <c r="D35" s="10"/>
      <c r="E35" s="18">
        <v>1</v>
      </c>
      <c r="F35" s="18" t="str">
        <f>VLOOKUP(A35,'ITEM LIST'!A:D,4,FALSE)</f>
        <v>TR</v>
      </c>
      <c r="G35" s="19">
        <v>1312.5</v>
      </c>
      <c r="H35" s="20">
        <v>1470</v>
      </c>
    </row>
    <row r="36" spans="1:8" ht="27" x14ac:dyDescent="0.35">
      <c r="A36" s="17" t="s">
        <v>2460</v>
      </c>
      <c r="B36" s="10" t="str">
        <f>VLOOKUP(A36,'ITEM LIST'!A:D,3,FALSE)</f>
        <v>PISTACCHOCOLATO, WHOLE</v>
      </c>
      <c r="C36" s="10"/>
      <c r="D36" s="10"/>
      <c r="E36" s="18">
        <v>8</v>
      </c>
      <c r="F36" s="18" t="str">
        <f>VLOOKUP(A36,'ITEM LIST'!A:D,4,FALSE)</f>
        <v>PC</v>
      </c>
      <c r="G36" s="19">
        <v>3832.4999999999991</v>
      </c>
      <c r="H36" s="20">
        <v>4292.3999999999987</v>
      </c>
    </row>
    <row r="37" spans="1:8" ht="27" x14ac:dyDescent="0.35">
      <c r="A37" s="17" t="s">
        <v>2570</v>
      </c>
      <c r="B37" s="10" t="str">
        <f>VLOOKUP(A37,'ITEM LIST'!A:D,3,FALSE)</f>
        <v xml:space="preserve"> PISTACCHOCOLATO, CAKE MINI, PC </v>
      </c>
      <c r="C37" s="10"/>
      <c r="D37" s="10"/>
      <c r="E37" s="18">
        <v>4</v>
      </c>
      <c r="F37" s="18" t="str">
        <f>VLOOKUP(A37,'ITEM LIST'!A:D,4,FALSE)</f>
        <v>PC</v>
      </c>
      <c r="G37" s="19">
        <v>1391.25</v>
      </c>
      <c r="H37" s="20">
        <v>1558.2</v>
      </c>
    </row>
    <row r="38" spans="1:8" ht="27" x14ac:dyDescent="0.35">
      <c r="A38" s="17" t="s">
        <v>2628</v>
      </c>
      <c r="B38" s="10" t="str">
        <f>VLOOKUP(A38,'ITEM LIST'!A:D,3,FALSE)</f>
        <v>CASHEW BRITTLE, 15G/PK, PK</v>
      </c>
      <c r="C38" s="10"/>
      <c r="D38" s="10"/>
      <c r="E38" s="18">
        <v>12</v>
      </c>
      <c r="F38" s="18" t="str">
        <f>VLOOKUP(A38,'ITEM LIST'!A:D,4,FALSE)</f>
        <v>PK</v>
      </c>
      <c r="G38" s="19">
        <v>63.104431034482751</v>
      </c>
      <c r="H38" s="20">
        <v>70.676962758620675</v>
      </c>
    </row>
    <row r="39" spans="1:8" ht="27" x14ac:dyDescent="0.35">
      <c r="A39" s="17" t="s">
        <v>2626</v>
      </c>
      <c r="B39" s="10" t="str">
        <f>VLOOKUP(A39,'ITEM LIST'!A:D,3,FALSE)</f>
        <v>MIDNIGHT DREAM CAKE, PC</v>
      </c>
      <c r="C39" s="10"/>
      <c r="D39" s="10"/>
      <c r="E39" s="18">
        <v>12</v>
      </c>
      <c r="F39" s="18" t="str">
        <f>VLOOKUP(A39,'ITEM LIST'!A:D,4,FALSE)</f>
        <v>PC</v>
      </c>
      <c r="G39" s="19">
        <v>5591.25</v>
      </c>
      <c r="H39" s="20">
        <v>6262.2</v>
      </c>
    </row>
    <row r="40" spans="1:8" ht="27" x14ac:dyDescent="0.35">
      <c r="A40" s="17" t="s">
        <v>3058</v>
      </c>
      <c r="B40" s="10" t="str">
        <f>VLOOKUP(A40,'ITEM LIST'!A:D,3,FALSE)</f>
        <v>SEA SALTED CRUNCH 140 GM</v>
      </c>
      <c r="C40" s="10"/>
      <c r="D40" s="10"/>
      <c r="E40" s="18">
        <v>12</v>
      </c>
      <c r="F40" s="18" t="str">
        <f>VLOOKUP(A40,'ITEM LIST'!A:D,4,FALSE)</f>
        <v>PK</v>
      </c>
      <c r="G40" s="19">
        <v>157.596</v>
      </c>
      <c r="H40" s="20">
        <v>176.50752</v>
      </c>
    </row>
    <row r="41" spans="1:8" ht="27" x14ac:dyDescent="0.35">
      <c r="A41" s="17" t="s">
        <v>2682</v>
      </c>
      <c r="B41" s="10" t="str">
        <f>VLOOKUP(A41,'ITEM LIST'!A:D,3,FALSE)</f>
        <v>SEA SALTED HONEY CRUNCH CAKE</v>
      </c>
      <c r="C41" s="10"/>
      <c r="D41" s="10"/>
      <c r="E41" s="18">
        <v>12</v>
      </c>
      <c r="F41" s="18" t="str">
        <f>VLOOKUP(A41,'ITEM LIST'!A:D,4,FALSE)</f>
        <v>PC</v>
      </c>
      <c r="G41" s="19">
        <v>4541.2499999999991</v>
      </c>
      <c r="H41" s="20">
        <v>5086.1999999999989</v>
      </c>
    </row>
    <row r="42" spans="1:8" ht="27" x14ac:dyDescent="0.35">
      <c r="A42" s="17" t="s">
        <v>3587</v>
      </c>
      <c r="B42" s="10" t="str">
        <f>VLOOKUP(A42,'ITEM LIST'!A:D,3,FALSE)</f>
        <v>CASHEW BRITTLE, 10 GRAMS PER PACK</v>
      </c>
      <c r="C42" s="10"/>
      <c r="D42" s="10"/>
      <c r="E42" s="18">
        <v>5</v>
      </c>
      <c r="F42" s="18" t="str">
        <f>VLOOKUP(A42,'ITEM LIST'!A:D,4,FALSE)</f>
        <v>PK</v>
      </c>
      <c r="G42" s="19">
        <v>17.529008620689655</v>
      </c>
      <c r="H42" s="20">
        <v>19.632489655172414</v>
      </c>
    </row>
    <row r="43" spans="1:8" ht="27" x14ac:dyDescent="0.35">
      <c r="A43" s="17" t="s">
        <v>3702</v>
      </c>
      <c r="B43" s="10" t="str">
        <f>VLOOKUP(A43,'ITEM LIST'!A:D,3,FALSE)</f>
        <v>UBE CAKE, PC</v>
      </c>
      <c r="C43" s="10"/>
      <c r="D43" s="10"/>
      <c r="E43" s="18">
        <v>20</v>
      </c>
      <c r="F43" s="18" t="str">
        <f>VLOOKUP(A43,'ITEM LIST'!A:D,4,FALSE)</f>
        <v>PC</v>
      </c>
      <c r="G43" s="19">
        <v>9143.7499999999982</v>
      </c>
      <c r="H43" s="20">
        <v>10240.999999999998</v>
      </c>
    </row>
    <row r="44" spans="1:8" ht="27" x14ac:dyDescent="0.35">
      <c r="A44" s="17" t="s">
        <v>3772</v>
      </c>
      <c r="B44" s="10" t="str">
        <f>VLOOKUP(A44,'ITEM LIST'!A:D,3,FALSE)</f>
        <v>MINI UBE CAKE</v>
      </c>
      <c r="C44" s="10"/>
      <c r="D44" s="10"/>
      <c r="E44" s="18">
        <v>6</v>
      </c>
      <c r="F44" s="18" t="str">
        <f>VLOOKUP(A44,'ITEM LIST'!A:D,4,FALSE)</f>
        <v>PC</v>
      </c>
      <c r="G44" s="19">
        <v>1955.625</v>
      </c>
      <c r="H44" s="20">
        <v>2190.3000000000002</v>
      </c>
    </row>
    <row r="45" spans="1:8" ht="27" x14ac:dyDescent="0.35">
      <c r="A45" s="17" t="s">
        <v>3915</v>
      </c>
      <c r="B45" s="10" t="str">
        <f>VLOOKUP(A45,'ITEM LIST'!A:D,3,FALSE)</f>
        <v>MINI MANGO MAGNIFICO, PC</v>
      </c>
      <c r="C45" s="10"/>
      <c r="D45" s="10"/>
      <c r="E45" s="18">
        <v>5</v>
      </c>
      <c r="F45" s="18" t="str">
        <f>VLOOKUP(A45,'ITEM LIST'!A:D,4,FALSE)</f>
        <v>PC</v>
      </c>
      <c r="G45" s="19">
        <v>1629.6875</v>
      </c>
      <c r="H45" s="20">
        <v>1825.25</v>
      </c>
    </row>
    <row r="46" spans="1:8" ht="27" x14ac:dyDescent="0.35">
      <c r="A46" s="17" t="s">
        <v>3939</v>
      </c>
      <c r="B46" s="10" t="str">
        <f>VLOOKUP(A46,'ITEM LIST'!A:D,3,FALSE)</f>
        <v>SALTED CHOCOLATE SMORES CAKE, NEW, PC</v>
      </c>
      <c r="C46" s="10"/>
      <c r="D46" s="10"/>
      <c r="E46" s="18">
        <v>10</v>
      </c>
      <c r="F46" s="18" t="str">
        <f>VLOOKUP(A46,'ITEM LIST'!A:D,4,FALSE)</f>
        <v>PC</v>
      </c>
      <c r="G46" s="19">
        <v>4571.8749999999991</v>
      </c>
      <c r="H46" s="20">
        <v>5120.4999999999991</v>
      </c>
    </row>
    <row r="47" spans="1:8" ht="27" x14ac:dyDescent="0.35">
      <c r="A47" s="17" t="s">
        <v>4019</v>
      </c>
      <c r="B47" s="10" t="str">
        <f>VLOOKUP(A47,'ITEM LIST'!A:D,3,FALSE)</f>
        <v>COFFEE CRUNCH,  70 G/PK, PK</v>
      </c>
      <c r="C47" s="10"/>
      <c r="D47" s="10"/>
      <c r="E47" s="18">
        <v>12</v>
      </c>
      <c r="F47" s="18" t="str">
        <f>VLOOKUP(A47,'ITEM LIST'!A:D,4,FALSE)</f>
        <v>PK</v>
      </c>
      <c r="G47" s="19">
        <v>142.80000000000001</v>
      </c>
      <c r="H47" s="20">
        <v>159.93600000000001</v>
      </c>
    </row>
    <row r="48" spans="1:8" ht="27" x14ac:dyDescent="0.35">
      <c r="A48" s="17" t="s">
        <v>4021</v>
      </c>
      <c r="B48" s="10" t="str">
        <f>VLOOKUP(A48,'ITEM LIST'!A:D,3,FALSE)</f>
        <v>CHOCOLATE JAVA CAKE, PC</v>
      </c>
      <c r="C48" s="10"/>
      <c r="D48" s="10"/>
      <c r="E48" s="18">
        <v>12</v>
      </c>
      <c r="F48" s="18" t="str">
        <f>VLOOKUP(A48,'ITEM LIST'!A:D,4,FALSE)</f>
        <v>PC</v>
      </c>
      <c r="G48" s="19">
        <v>5223.7499999999991</v>
      </c>
      <c r="H48" s="20">
        <v>5850.5999999999985</v>
      </c>
    </row>
    <row r="49" spans="1:8" ht="27" x14ac:dyDescent="0.35">
      <c r="A49" s="17" t="s">
        <v>111</v>
      </c>
      <c r="B49" s="10" t="str">
        <f>VLOOKUP(A49,'ITEM LIST'!A:D,3,FALSE)</f>
        <v>WOODEN, SPOON, CLASS B</v>
      </c>
      <c r="C49" s="10"/>
      <c r="D49" s="10"/>
      <c r="E49" s="18">
        <v>500</v>
      </c>
      <c r="F49" s="18" t="str">
        <f>VLOOKUP(A49,'ITEM LIST'!A:D,4,FALSE)</f>
        <v>PC</v>
      </c>
      <c r="G49" s="19">
        <v>77.008928571428555</v>
      </c>
      <c r="H49" s="20">
        <v>86.249999999999986</v>
      </c>
    </row>
    <row r="50" spans="1:8" ht="27" x14ac:dyDescent="0.35">
      <c r="A50" s="17" t="s">
        <v>21</v>
      </c>
      <c r="B50" s="10" t="str">
        <f>VLOOKUP(A50,'ITEM LIST'!A:D,3,FALSE)</f>
        <v>CLING WRAP, 30 METERS PER ROLL</v>
      </c>
      <c r="C50" s="10"/>
      <c r="D50" s="10"/>
      <c r="E50" s="18">
        <v>1</v>
      </c>
      <c r="F50" s="18" t="str">
        <f>VLOOKUP(A50,'ITEM LIST'!A:D,4,FALSE)</f>
        <v>RL</v>
      </c>
      <c r="G50" s="19">
        <v>246.43349999999998</v>
      </c>
      <c r="H50" s="20">
        <v>276.00551999999999</v>
      </c>
    </row>
    <row r="51" spans="1:8" ht="27" x14ac:dyDescent="0.35">
      <c r="A51" s="17" t="s">
        <v>61</v>
      </c>
      <c r="B51" s="10" t="str">
        <f>VLOOKUP(A51,'ITEM LIST'!A:D,3,FALSE)</f>
        <v>CLEANING, YELLOW SCRUB SPONGE, 2 in 1, 3in x 3.75in</v>
      </c>
      <c r="C51" s="10"/>
      <c r="D51" s="10"/>
      <c r="E51" s="18">
        <v>2</v>
      </c>
      <c r="F51" s="18" t="str">
        <f>VLOOKUP(A51,'ITEM LIST'!A:D,4,FALSE)</f>
        <v>PC</v>
      </c>
      <c r="G51" s="19">
        <v>65.986999999999995</v>
      </c>
      <c r="H51" s="20">
        <v>73.905439999999999</v>
      </c>
    </row>
    <row r="52" spans="1:8" ht="27" x14ac:dyDescent="0.35">
      <c r="A52" s="17" t="s">
        <v>704</v>
      </c>
      <c r="B52" s="10" t="str">
        <f>VLOOKUP(A52,'ITEM LIST'!A:D,3,FALSE)</f>
        <v>DISPOSABLE PAPER CUP, W/PRINT, 4OZ, PC</v>
      </c>
      <c r="C52" s="10"/>
      <c r="D52" s="10"/>
      <c r="E52" s="18">
        <v>250</v>
      </c>
      <c r="F52" s="18" t="str">
        <f>VLOOKUP(A52,'ITEM LIST'!A:D,4,FALSE)</f>
        <v>PC</v>
      </c>
      <c r="G52" s="19">
        <v>370.87499999999994</v>
      </c>
      <c r="H52" s="20">
        <v>415.37999999999994</v>
      </c>
    </row>
    <row r="53" spans="1:8" ht="27" x14ac:dyDescent="0.35">
      <c r="A53" s="17" t="s">
        <v>3591</v>
      </c>
      <c r="B53" s="10" t="str">
        <f>VLOOKUP(A53,'ITEM LIST'!A:D,3,FALSE)</f>
        <v>MIDNIGHT DREAM CAKE, WHOLE, MINI</v>
      </c>
      <c r="C53" s="10"/>
      <c r="D53" s="10"/>
      <c r="E53" s="18">
        <v>4</v>
      </c>
      <c r="F53" s="18" t="str">
        <f>VLOOKUP(A53,'ITEM LIST'!A:D,4,FALSE)</f>
        <v>PC</v>
      </c>
      <c r="G53" s="19">
        <v>1303.75</v>
      </c>
      <c r="H53" s="20">
        <v>1460.2</v>
      </c>
    </row>
    <row r="54" spans="1:8" ht="27" x14ac:dyDescent="0.35">
      <c r="A54" s="17" t="s">
        <v>4021</v>
      </c>
      <c r="B54" s="10" t="str">
        <f>VLOOKUP(A54,'ITEM LIST'!A:D,3,FALSE)</f>
        <v>CHOCOLATE JAVA CAKE, PC</v>
      </c>
      <c r="C54" s="10"/>
      <c r="D54" s="10"/>
      <c r="E54" s="18">
        <v>13</v>
      </c>
      <c r="F54" s="18" t="str">
        <f>VLOOKUP(A54,'ITEM LIST'!A:D,4,FALSE)</f>
        <v>PC</v>
      </c>
      <c r="G54" s="19">
        <v>5659.0624999999991</v>
      </c>
      <c r="H54" s="20">
        <v>6338.1499999999987</v>
      </c>
    </row>
    <row r="55" spans="1:8" ht="27" x14ac:dyDescent="0.35">
      <c r="A55" s="17" t="s">
        <v>2222</v>
      </c>
      <c r="B55" s="10" t="str">
        <f>VLOOKUP(A55,'ITEM LIST'!A:D,3,FALSE)</f>
        <v>NEW FERRERO, 2.5KG/TRAY</v>
      </c>
      <c r="C55" s="10"/>
      <c r="D55" s="10"/>
      <c r="E55" s="18">
        <v>1</v>
      </c>
      <c r="F55" s="18" t="str">
        <f>VLOOKUP(A55,'ITEM LIST'!A:D,4,FALSE)</f>
        <v>TR</v>
      </c>
      <c r="G55" s="19">
        <v>1312.4999999999998</v>
      </c>
      <c r="H55" s="20">
        <v>1469.9999999999998</v>
      </c>
    </row>
    <row r="56" spans="1:8" ht="27" x14ac:dyDescent="0.35">
      <c r="A56" s="17" t="s">
        <v>3587</v>
      </c>
      <c r="B56" s="10" t="str">
        <f>VLOOKUP(A56,'ITEM LIST'!A:D,3,FALSE)</f>
        <v>CASHEW BRITTLE, 10 GRAMS PER PACK</v>
      </c>
      <c r="C56" s="10"/>
      <c r="D56" s="10"/>
      <c r="E56" s="18">
        <v>4</v>
      </c>
      <c r="F56" s="18" t="str">
        <f>VLOOKUP(A56,'ITEM LIST'!A:D,4,FALSE)</f>
        <v>PK</v>
      </c>
      <c r="G56" s="19">
        <v>14.023206896551724</v>
      </c>
      <c r="H56" s="20">
        <v>15.705991724137931</v>
      </c>
    </row>
    <row r="57" spans="1:8" ht="27" x14ac:dyDescent="0.35">
      <c r="A57" s="17" t="s">
        <v>3702</v>
      </c>
      <c r="B57" s="10" t="str">
        <f>VLOOKUP(A57,'ITEM LIST'!A:D,3,FALSE)</f>
        <v>UBE CAKE, PC</v>
      </c>
      <c r="C57" s="10"/>
      <c r="D57" s="10"/>
      <c r="E57" s="18">
        <v>20</v>
      </c>
      <c r="F57" s="18" t="str">
        <f>VLOOKUP(A57,'ITEM LIST'!A:D,4,FALSE)</f>
        <v>PC</v>
      </c>
      <c r="G57" s="19">
        <v>9143.7499999999982</v>
      </c>
      <c r="H57" s="20">
        <v>10240.999999999998</v>
      </c>
    </row>
    <row r="58" spans="1:8" ht="27" x14ac:dyDescent="0.35">
      <c r="A58" s="17" t="s">
        <v>2294</v>
      </c>
      <c r="B58" s="10" t="str">
        <f>VLOOKUP(A58,'ITEM LIST'!A:D,3,FALSE)</f>
        <v>PIPING CHOCOLATE, 200G/PK</v>
      </c>
      <c r="C58" s="10"/>
      <c r="D58" s="10"/>
      <c r="E58" s="18">
        <v>2</v>
      </c>
      <c r="F58" s="18" t="str">
        <f>VLOOKUP(A58,'ITEM LIST'!A:D,4,FALSE)</f>
        <v>PK</v>
      </c>
      <c r="G58" s="19">
        <v>92.018546999999998</v>
      </c>
      <c r="H58" s="20">
        <v>103.06077264</v>
      </c>
    </row>
    <row r="59" spans="1:8" ht="27" x14ac:dyDescent="0.35">
      <c r="A59" s="17" t="s">
        <v>2296</v>
      </c>
      <c r="B59" s="10" t="str">
        <f>VLOOKUP(A59,'ITEM LIST'!A:D,3,FALSE)</f>
        <v>BLANK HAPPY BIRTHDAY LABEL, 24PCS/BX</v>
      </c>
      <c r="C59" s="10"/>
      <c r="D59" s="10"/>
      <c r="E59" s="18">
        <v>4</v>
      </c>
      <c r="F59" s="18" t="str">
        <f>VLOOKUP(A59,'ITEM LIST'!A:D,4,FALSE)</f>
        <v>BX</v>
      </c>
      <c r="G59" s="19">
        <v>621.98452800000007</v>
      </c>
      <c r="H59" s="20">
        <v>696.62267136000003</v>
      </c>
    </row>
    <row r="60" spans="1:8" ht="27" x14ac:dyDescent="0.35">
      <c r="A60" s="17" t="s">
        <v>3018</v>
      </c>
      <c r="B60" s="10" t="str">
        <f>VLOOKUP(A60,'ITEM LIST'!A:D,3,FALSE)</f>
        <v>BLUEBERRY CHEESECAKE GELATO, 4.5KG/TRAY</v>
      </c>
      <c r="C60" s="10"/>
      <c r="D60" s="10"/>
      <c r="E60" s="18">
        <v>0.56000000000000005</v>
      </c>
      <c r="F60" s="18" t="str">
        <f>VLOOKUP(A60,'ITEM LIST'!A:D,4,FALSE)</f>
        <v>TR</v>
      </c>
      <c r="G60" s="19">
        <v>1323.0000000000002</v>
      </c>
      <c r="H60" s="20">
        <v>1481.7600000000002</v>
      </c>
    </row>
    <row r="61" spans="1:8" ht="27" x14ac:dyDescent="0.35">
      <c r="A61" s="17" t="s">
        <v>2762</v>
      </c>
      <c r="B61" s="10" t="str">
        <f>VLOOKUP(A61,'ITEM LIST'!A:D,3,FALSE)</f>
        <v>TURTLE PIE, 2.5KG/TRAY</v>
      </c>
      <c r="C61" s="10"/>
      <c r="D61" s="10"/>
      <c r="E61" s="18">
        <v>1</v>
      </c>
      <c r="F61" s="18" t="str">
        <f>VLOOKUP(A61,'ITEM LIST'!A:D,4,FALSE)</f>
        <v>TR</v>
      </c>
      <c r="G61" s="19">
        <v>1312.5</v>
      </c>
      <c r="H61" s="20">
        <v>1470</v>
      </c>
    </row>
    <row r="62" spans="1:8" ht="27" x14ac:dyDescent="0.35">
      <c r="A62" s="17" t="s">
        <v>3058</v>
      </c>
      <c r="B62" s="10" t="str">
        <f>VLOOKUP(A62,'ITEM LIST'!A:D,3,FALSE)</f>
        <v>SEA SALTED CRUNCH 140 GM</v>
      </c>
      <c r="C62" s="10"/>
      <c r="D62" s="10"/>
      <c r="E62" s="18">
        <v>8</v>
      </c>
      <c r="F62" s="18" t="str">
        <f>VLOOKUP(A62,'ITEM LIST'!A:D,4,FALSE)</f>
        <v>PK</v>
      </c>
      <c r="G62" s="19">
        <v>105.06399999999999</v>
      </c>
      <c r="H62" s="20">
        <v>117.67167999999999</v>
      </c>
    </row>
    <row r="63" spans="1:8" ht="27" x14ac:dyDescent="0.35">
      <c r="A63" s="17" t="s">
        <v>2626</v>
      </c>
      <c r="B63" s="10" t="str">
        <f>VLOOKUP(A63,'ITEM LIST'!A:D,3,FALSE)</f>
        <v>MIDNIGHT DREAM CAKE, PC</v>
      </c>
      <c r="C63" s="10"/>
      <c r="D63" s="10"/>
      <c r="E63" s="18">
        <v>12</v>
      </c>
      <c r="F63" s="18" t="str">
        <f>VLOOKUP(A63,'ITEM LIST'!A:D,4,FALSE)</f>
        <v>PC</v>
      </c>
      <c r="G63" s="19">
        <v>5591.25</v>
      </c>
      <c r="H63" s="20">
        <v>6262.2</v>
      </c>
    </row>
    <row r="64" spans="1:8" ht="29.25" customHeight="1" x14ac:dyDescent="0.35">
      <c r="A64" s="17" t="s">
        <v>2628</v>
      </c>
      <c r="B64" s="10" t="str">
        <f>VLOOKUP(A64,'ITEM LIST'!A:D,3,FALSE)</f>
        <v>CASHEW BRITTLE, 15G/PK, PK</v>
      </c>
      <c r="C64" s="10"/>
      <c r="D64" s="10"/>
      <c r="E64" s="18">
        <v>12</v>
      </c>
      <c r="F64" s="18" t="str">
        <f>VLOOKUP(A64,'ITEM LIST'!A:D,4,FALSE)</f>
        <v>PK</v>
      </c>
      <c r="G64" s="19">
        <v>63.104431034482751</v>
      </c>
      <c r="H64" s="20">
        <v>70.676962758620675</v>
      </c>
    </row>
    <row r="65" spans="1:8" ht="27" x14ac:dyDescent="0.35">
      <c r="A65" s="17" t="s">
        <v>2570</v>
      </c>
      <c r="B65" s="10" t="str">
        <f>VLOOKUP(A65,'ITEM LIST'!A:D,3,FALSE)</f>
        <v xml:space="preserve"> PISTACCHOCOLATO, CAKE MINI, PC </v>
      </c>
      <c r="C65" s="10"/>
      <c r="D65" s="10"/>
      <c r="E65" s="18">
        <v>4</v>
      </c>
      <c r="F65" s="18" t="str">
        <f>VLOOKUP(A65,'ITEM LIST'!A:D,4,FALSE)</f>
        <v>PC</v>
      </c>
      <c r="G65" s="19">
        <v>1391.25</v>
      </c>
      <c r="H65" s="20">
        <v>1558.2</v>
      </c>
    </row>
    <row r="66" spans="1:8" ht="24.75" customHeight="1" x14ac:dyDescent="0.35">
      <c r="A66" s="17" t="s">
        <v>2460</v>
      </c>
      <c r="B66" s="10" t="str">
        <f>VLOOKUP(A66,'ITEM LIST'!A:D,3,FALSE)</f>
        <v>PISTACCHOCOLATO, WHOLE</v>
      </c>
      <c r="C66" s="10"/>
      <c r="D66" s="10"/>
      <c r="E66" s="18">
        <v>8</v>
      </c>
      <c r="F66" s="18" t="str">
        <f>VLOOKUP(A66,'ITEM LIST'!A:D,4,FALSE)</f>
        <v>PC</v>
      </c>
      <c r="G66" s="19">
        <v>3832.4999999999991</v>
      </c>
      <c r="H66" s="20">
        <v>4292.3999999999987</v>
      </c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92408.432010896548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9900.9034297389153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82507.528581157632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82507.528581157632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9900.9034297389153</v>
      </c>
      <c r="G83" s="38"/>
      <c r="H83" s="35">
        <f>F83</f>
        <v>9900.9034297389153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825.07528581157635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91583.356725084974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9CB0-AE90-4A21-81B6-70772E7A7670}">
  <sheetPr>
    <pageSetUpPr fitToPage="1"/>
  </sheetPr>
  <dimension ref="A10:H86"/>
  <sheetViews>
    <sheetView view="pageBreakPreview" topLeftCell="A45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5277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3772</v>
      </c>
      <c r="B27" s="10" t="str">
        <f>VLOOKUP(A27,'ITEM LIST'!A:D,3,FALSE)</f>
        <v>MINI UBE CAKE</v>
      </c>
      <c r="C27" s="10"/>
      <c r="D27" s="10"/>
      <c r="E27" s="18">
        <v>4</v>
      </c>
      <c r="F27" s="18" t="str">
        <f>VLOOKUP(A27,'ITEM LIST'!A:D,4,FALSE)</f>
        <v>PC</v>
      </c>
      <c r="G27" s="19">
        <v>1303.75</v>
      </c>
      <c r="H27" s="20">
        <v>1460.2</v>
      </c>
    </row>
    <row r="28" spans="1:8" ht="27" x14ac:dyDescent="0.35">
      <c r="A28" s="17" t="s">
        <v>3583</v>
      </c>
      <c r="B28" s="10" t="str">
        <f>VLOOKUP(A28,'ITEM LIST'!A:D,3,FALSE)</f>
        <v>STRAWBERRY CAKE, PIECE</v>
      </c>
      <c r="C28" s="10"/>
      <c r="D28" s="10"/>
      <c r="E28" s="18">
        <v>3</v>
      </c>
      <c r="F28" s="18" t="str">
        <f>VLOOKUP(A28,'ITEM LIST'!A:D,4,FALSE)</f>
        <v>PC</v>
      </c>
      <c r="G28" s="19">
        <v>1830.9374999999995</v>
      </c>
      <c r="H28" s="20">
        <v>2050.6499999999996</v>
      </c>
    </row>
    <row r="29" spans="1:8" ht="27" x14ac:dyDescent="0.35">
      <c r="A29" s="17" t="s">
        <v>3776</v>
      </c>
      <c r="B29" s="10" t="str">
        <f>VLOOKUP(A29,'ITEM LIST'!A:D,3,FALSE)</f>
        <v>STRAWBERRY, VACUUM PACKED, PK</v>
      </c>
      <c r="C29" s="10"/>
      <c r="D29" s="10"/>
      <c r="E29" s="18">
        <v>3</v>
      </c>
      <c r="F29" s="18" t="str">
        <f>VLOOKUP(A29,'ITEM LIST'!A:D,4,FALSE)</f>
        <v>PK</v>
      </c>
      <c r="G29" s="19">
        <v>317.32096764705875</v>
      </c>
      <c r="H29" s="20">
        <v>355.39948376470579</v>
      </c>
    </row>
    <row r="30" spans="1:8" ht="27" x14ac:dyDescent="0.35">
      <c r="A30" s="17" t="s">
        <v>2682</v>
      </c>
      <c r="B30" s="10" t="str">
        <f>VLOOKUP(A30,'ITEM LIST'!A:D,3,FALSE)</f>
        <v>SEA SALTED HONEY CRUNCH CAKE</v>
      </c>
      <c r="C30" s="10"/>
      <c r="D30" s="10"/>
      <c r="E30" s="18">
        <v>8</v>
      </c>
      <c r="F30" s="18" t="str">
        <f>VLOOKUP(A30,'ITEM LIST'!A:D,4,FALSE)</f>
        <v>PC</v>
      </c>
      <c r="G30" s="19">
        <v>3027.4999999999995</v>
      </c>
      <c r="H30" s="20">
        <v>3390.7999999999993</v>
      </c>
    </row>
    <row r="31" spans="1:8" ht="27" x14ac:dyDescent="0.35">
      <c r="A31" s="17" t="s">
        <v>3762</v>
      </c>
      <c r="B31" s="10" t="str">
        <f>VLOOKUP(A31,'ITEM LIST'!A:D,3,FALSE)</f>
        <v>UBE GELATO, 2.5 KG/TRAY</v>
      </c>
      <c r="C31" s="10"/>
      <c r="D31" s="10"/>
      <c r="E31" s="18">
        <v>1</v>
      </c>
      <c r="F31" s="18" t="str">
        <f>VLOOKUP(A31,'ITEM LIST'!A:D,4,FALSE)</f>
        <v>TR</v>
      </c>
      <c r="G31" s="19">
        <v>1312.5</v>
      </c>
      <c r="H31" s="20">
        <v>1470</v>
      </c>
    </row>
    <row r="32" spans="1:8" ht="27" x14ac:dyDescent="0.35">
      <c r="A32" s="17" t="s">
        <v>3064</v>
      </c>
      <c r="B32" s="10" t="str">
        <f>VLOOKUP(A32,'ITEM LIST'!A:D,3,FALSE)</f>
        <v>MANGO CREAM PIE 4.5 KG</v>
      </c>
      <c r="C32" s="10"/>
      <c r="D32" s="10"/>
      <c r="E32" s="18">
        <v>0.56000000000000005</v>
      </c>
      <c r="F32" s="18" t="str">
        <f>VLOOKUP(A32,'ITEM LIST'!A:D,4,FALSE)</f>
        <v>TR</v>
      </c>
      <c r="G32" s="19">
        <v>1188</v>
      </c>
      <c r="H32" s="20">
        <v>1330.56</v>
      </c>
    </row>
    <row r="33" spans="1:8" ht="27" x14ac:dyDescent="0.35">
      <c r="A33" s="17" t="s">
        <v>3030</v>
      </c>
      <c r="B33" s="10" t="str">
        <f>VLOOKUP(A33,'ITEM LIST'!A:D,3,FALSE)</f>
        <v>OREO COOKIES N' CREAM, 4.5KG./TRAY</v>
      </c>
      <c r="C33" s="10"/>
      <c r="D33" s="10"/>
      <c r="E33" s="18">
        <v>0.56000000000000005</v>
      </c>
      <c r="F33" s="18" t="str">
        <f>VLOOKUP(A33,'ITEM LIST'!A:D,4,FALSE)</f>
        <v>TR</v>
      </c>
      <c r="G33" s="19">
        <v>1323.0000000000002</v>
      </c>
      <c r="H33" s="20">
        <v>1481.7600000000002</v>
      </c>
    </row>
    <row r="34" spans="1:8" ht="27" x14ac:dyDescent="0.35">
      <c r="A34" s="17" t="s">
        <v>3020</v>
      </c>
      <c r="B34" s="10" t="str">
        <f>VLOOKUP(A34,'ITEM LIST'!A:D,3,FALSE)</f>
        <v>CHOCOLATE THERAPY GELATO, 4.5/TRAY</v>
      </c>
      <c r="C34" s="10"/>
      <c r="D34" s="10"/>
      <c r="E34" s="18">
        <v>0.56000000000000005</v>
      </c>
      <c r="F34" s="18" t="str">
        <f>VLOOKUP(A34,'ITEM LIST'!A:D,4,FALSE)</f>
        <v>TR</v>
      </c>
      <c r="G34" s="19">
        <v>1323.0000000000002</v>
      </c>
      <c r="H34" s="20">
        <v>1481.7600000000002</v>
      </c>
    </row>
    <row r="35" spans="1:8" ht="27" x14ac:dyDescent="0.35">
      <c r="A35" s="17" t="s">
        <v>3798</v>
      </c>
      <c r="B35" s="10" t="str">
        <f>VLOOKUP(A35,'ITEM LIST'!A:D,3,FALSE)</f>
        <v>MANGO MAGNIFICO CAKE, WHOLE, NEW DESIGN</v>
      </c>
      <c r="C35" s="10"/>
      <c r="D35" s="10"/>
      <c r="E35" s="18">
        <v>10</v>
      </c>
      <c r="F35" s="18" t="str">
        <f>VLOOKUP(A35,'ITEM LIST'!A:D,4,FALSE)</f>
        <v>PC</v>
      </c>
      <c r="G35" s="19">
        <v>4571.8749999999991</v>
      </c>
      <c r="H35" s="20">
        <v>5120.4999999999991</v>
      </c>
    </row>
    <row r="36" spans="1:8" ht="27" x14ac:dyDescent="0.35">
      <c r="A36" s="17" t="s">
        <v>3915</v>
      </c>
      <c r="B36" s="10" t="str">
        <f>VLOOKUP(A36,'ITEM LIST'!A:D,3,FALSE)</f>
        <v>MINI MANGO MAGNIFICO, PC</v>
      </c>
      <c r="C36" s="10"/>
      <c r="D36" s="10"/>
      <c r="E36" s="18">
        <v>4</v>
      </c>
      <c r="F36" s="18" t="str">
        <f>VLOOKUP(A36,'ITEM LIST'!A:D,4,FALSE)</f>
        <v>PC</v>
      </c>
      <c r="G36" s="19">
        <v>1303.75</v>
      </c>
      <c r="H36" s="20">
        <v>1460.2</v>
      </c>
    </row>
    <row r="37" spans="1:8" ht="27" x14ac:dyDescent="0.35">
      <c r="A37" s="17" t="s">
        <v>3939</v>
      </c>
      <c r="B37" s="10" t="str">
        <f>VLOOKUP(A37,'ITEM LIST'!A:D,3,FALSE)</f>
        <v>SALTED CHOCOLATE SMORES CAKE, NEW, PC</v>
      </c>
      <c r="C37" s="10"/>
      <c r="D37" s="10"/>
      <c r="E37" s="18">
        <v>10</v>
      </c>
      <c r="F37" s="18" t="str">
        <f>VLOOKUP(A37,'ITEM LIST'!A:D,4,FALSE)</f>
        <v>PC</v>
      </c>
      <c r="G37" s="19">
        <v>4571.8749999999991</v>
      </c>
      <c r="H37" s="20">
        <v>5120.4999999999991</v>
      </c>
    </row>
    <row r="38" spans="1:8" ht="27" x14ac:dyDescent="0.35">
      <c r="A38" s="17" t="s">
        <v>4019</v>
      </c>
      <c r="B38" s="10" t="str">
        <f>VLOOKUP(A38,'ITEM LIST'!A:D,3,FALSE)</f>
        <v>COFFEE CRUNCH,  70 G/PK, PK</v>
      </c>
      <c r="C38" s="10"/>
      <c r="D38" s="10"/>
      <c r="E38" s="18">
        <v>13</v>
      </c>
      <c r="F38" s="18" t="str">
        <f>VLOOKUP(A38,'ITEM LIST'!A:D,4,FALSE)</f>
        <v>PK</v>
      </c>
      <c r="G38" s="19">
        <v>154.70000000000002</v>
      </c>
      <c r="H38" s="20">
        <v>173.26400000000001</v>
      </c>
    </row>
    <row r="39" spans="1:8" ht="27" x14ac:dyDescent="0.35">
      <c r="A39" s="17" t="s">
        <v>704</v>
      </c>
      <c r="B39" s="10" t="str">
        <f>VLOOKUP(A39,'ITEM LIST'!A:D,3,FALSE)</f>
        <v>DISPOSABLE PAPER CUP, W/PRINT, 4OZ, PC</v>
      </c>
      <c r="C39" s="10"/>
      <c r="D39" s="10"/>
      <c r="E39" s="18">
        <v>100</v>
      </c>
      <c r="F39" s="18" t="str">
        <f>VLOOKUP(A39,'ITEM LIST'!A:D,4,FALSE)</f>
        <v>PC</v>
      </c>
      <c r="G39" s="19">
        <v>148.35</v>
      </c>
      <c r="H39" s="20">
        <v>166.15199999999999</v>
      </c>
    </row>
    <row r="40" spans="1:8" ht="27" x14ac:dyDescent="0.35">
      <c r="A40" s="17" t="s">
        <v>766</v>
      </c>
      <c r="B40" s="10" t="str">
        <f>VLOOKUP(A40,'ITEM LIST'!A:D,3,FALSE)</f>
        <v>DISPOSABLE PAPER CUP ,PRINTED 3OZ, 2PE-180GSM</v>
      </c>
      <c r="C40" s="10"/>
      <c r="D40" s="10"/>
      <c r="E40" s="18">
        <v>100</v>
      </c>
      <c r="F40" s="18" t="str">
        <f>VLOOKUP(A40,'ITEM LIST'!A:D,4,FALSE)</f>
        <v>PC</v>
      </c>
      <c r="G40" s="19">
        <v>102.34999999999998</v>
      </c>
      <c r="H40" s="20">
        <v>114.63199999999998</v>
      </c>
    </row>
    <row r="41" spans="1:8" ht="27" x14ac:dyDescent="0.35">
      <c r="A41" s="17" t="s">
        <v>21</v>
      </c>
      <c r="B41" s="10" t="str">
        <f>VLOOKUP(A41,'ITEM LIST'!A:D,3,FALSE)</f>
        <v>CLING WRAP, 30 METERS PER ROLL</v>
      </c>
      <c r="C41" s="10"/>
      <c r="D41" s="10"/>
      <c r="E41" s="18">
        <v>2</v>
      </c>
      <c r="F41" s="18" t="str">
        <f>VLOOKUP(A41,'ITEM LIST'!A:D,4,FALSE)</f>
        <v>RL</v>
      </c>
      <c r="G41" s="19">
        <v>492.86699999999996</v>
      </c>
      <c r="H41" s="20">
        <v>552.01103999999998</v>
      </c>
    </row>
    <row r="42" spans="1:8" ht="27" x14ac:dyDescent="0.35">
      <c r="A42" s="17" t="s">
        <v>706</v>
      </c>
      <c r="B42" s="10" t="str">
        <f>VLOOKUP(A42,'ITEM LIST'!A:D,3,FALSE)</f>
        <v>DISPOSABLE PAPER CUP, W/PRINT, 8.79OZ, PC</v>
      </c>
      <c r="C42" s="10"/>
      <c r="D42" s="10"/>
      <c r="E42" s="18">
        <v>200</v>
      </c>
      <c r="F42" s="18" t="str">
        <f>VLOOKUP(A42,'ITEM LIST'!A:D,4,FALSE)</f>
        <v>PC</v>
      </c>
      <c r="G42" s="19">
        <v>328.9</v>
      </c>
      <c r="H42" s="20">
        <v>368.36799999999999</v>
      </c>
    </row>
    <row r="43" spans="1:8" ht="27" x14ac:dyDescent="0.35">
      <c r="A43" s="17" t="s">
        <v>802</v>
      </c>
      <c r="B43" s="10" t="str">
        <f>VLOOKUP(A43,'ITEM LIST'!A:D,3,FALSE)</f>
        <v>PAPER, BAG, KRAFT#2, CARAMIA, 70GSM</v>
      </c>
      <c r="C43" s="10"/>
      <c r="D43" s="10"/>
      <c r="E43" s="18">
        <v>50</v>
      </c>
      <c r="F43" s="18" t="str">
        <f>VLOOKUP(A43,'ITEM LIST'!A:D,4,FALSE)</f>
        <v>PC</v>
      </c>
      <c r="G43" s="19">
        <v>238.625</v>
      </c>
      <c r="H43" s="20">
        <v>267.26</v>
      </c>
    </row>
    <row r="44" spans="1:8" ht="27" x14ac:dyDescent="0.35">
      <c r="A44" s="17" t="s">
        <v>864</v>
      </c>
      <c r="B44" s="10" t="str">
        <f>VLOOKUP(A44,'ITEM LIST'!A:D,3,FALSE)</f>
        <v>INSULATED FOAM, POUCH, TUB, 11x10”x6in (overlap)</v>
      </c>
      <c r="C44" s="10"/>
      <c r="D44" s="10"/>
      <c r="E44" s="18">
        <v>50</v>
      </c>
      <c r="F44" s="18" t="str">
        <f>VLOOKUP(A44,'ITEM LIST'!A:D,4,FALSE)</f>
        <v>PC</v>
      </c>
      <c r="G44" s="19">
        <v>616.05499999999995</v>
      </c>
      <c r="H44" s="20">
        <v>689.98159999999996</v>
      </c>
    </row>
    <row r="45" spans="1:8" ht="27" x14ac:dyDescent="0.35">
      <c r="A45" s="17" t="s">
        <v>3762</v>
      </c>
      <c r="B45" s="10" t="str">
        <f>VLOOKUP(A45,'ITEM LIST'!A:D,3,FALSE)</f>
        <v>UBE GELATO, 2.5 KG/TRAY</v>
      </c>
      <c r="C45" s="10"/>
      <c r="D45" s="10"/>
      <c r="E45" s="18">
        <v>1</v>
      </c>
      <c r="F45" s="18" t="str">
        <f>VLOOKUP(A45,'ITEM LIST'!A:D,4,FALSE)</f>
        <v>TR</v>
      </c>
      <c r="G45" s="19">
        <v>1312.5</v>
      </c>
      <c r="H45" s="20">
        <v>1470</v>
      </c>
    </row>
    <row r="46" spans="1:8" ht="27" x14ac:dyDescent="0.35">
      <c r="A46" s="17" t="s">
        <v>2296</v>
      </c>
      <c r="B46" s="10" t="str">
        <f>VLOOKUP(A46,'ITEM LIST'!A:D,3,FALSE)</f>
        <v>BLANK HAPPY BIRTHDAY LABEL, 24PCS/BX</v>
      </c>
      <c r="C46" s="10"/>
      <c r="D46" s="10"/>
      <c r="E46" s="18">
        <v>2</v>
      </c>
      <c r="F46" s="18" t="str">
        <f>VLOOKUP(A46,'ITEM LIST'!A:D,4,FALSE)</f>
        <v>BX</v>
      </c>
      <c r="G46" s="19">
        <v>310.99226400000003</v>
      </c>
      <c r="H46" s="20">
        <v>348.31133568000001</v>
      </c>
    </row>
    <row r="47" spans="1:8" ht="27" x14ac:dyDescent="0.35">
      <c r="A47" s="17" t="s">
        <v>2628</v>
      </c>
      <c r="B47" s="10" t="str">
        <f>VLOOKUP(A47,'ITEM LIST'!A:D,3,FALSE)</f>
        <v>CASHEW BRITTLE, 15G/PK, PK</v>
      </c>
      <c r="C47" s="10"/>
      <c r="D47" s="10"/>
      <c r="E47" s="18">
        <v>9</v>
      </c>
      <c r="F47" s="18" t="str">
        <f>VLOOKUP(A47,'ITEM LIST'!A:D,4,FALSE)</f>
        <v>PK</v>
      </c>
      <c r="G47" s="19">
        <v>47.328323275862061</v>
      </c>
      <c r="H47" s="20">
        <v>53.007722068965506</v>
      </c>
    </row>
    <row r="48" spans="1:8" ht="27" x14ac:dyDescent="0.35">
      <c r="A48" s="17" t="s">
        <v>3939</v>
      </c>
      <c r="B48" s="10" t="str">
        <f>VLOOKUP(A48,'ITEM LIST'!A:D,3,FALSE)</f>
        <v>SALTED CHOCOLATE SMORES CAKE, NEW, PC</v>
      </c>
      <c r="C48" s="10"/>
      <c r="D48" s="10"/>
      <c r="E48" s="18">
        <v>9</v>
      </c>
      <c r="F48" s="18" t="str">
        <f>VLOOKUP(A48,'ITEM LIST'!A:D,4,FALSE)</f>
        <v>PC</v>
      </c>
      <c r="G48" s="19">
        <v>4114.6874999999991</v>
      </c>
      <c r="H48" s="20">
        <v>4608.4499999999989</v>
      </c>
    </row>
    <row r="49" spans="1:8" ht="27" x14ac:dyDescent="0.35">
      <c r="A49" s="17" t="s">
        <v>3915</v>
      </c>
      <c r="B49" s="10" t="str">
        <f>VLOOKUP(A49,'ITEM LIST'!A:D,3,FALSE)</f>
        <v>MINI MANGO MAGNIFICO, PC</v>
      </c>
      <c r="C49" s="10"/>
      <c r="D49" s="10"/>
      <c r="E49" s="18">
        <v>9</v>
      </c>
      <c r="F49" s="18" t="str">
        <f>VLOOKUP(A49,'ITEM LIST'!A:D,4,FALSE)</f>
        <v>PC</v>
      </c>
      <c r="G49" s="19">
        <v>2933.4375</v>
      </c>
      <c r="H49" s="20">
        <v>3285.45</v>
      </c>
    </row>
    <row r="50" spans="1:8" ht="27" x14ac:dyDescent="0.35">
      <c r="A50" s="17" t="s">
        <v>3798</v>
      </c>
      <c r="B50" s="10" t="str">
        <f>VLOOKUP(A50,'ITEM LIST'!A:D,3,FALSE)</f>
        <v>MANGO MAGNIFICO CAKE, WHOLE, NEW DESIGN</v>
      </c>
      <c r="C50" s="10"/>
      <c r="D50" s="10"/>
      <c r="E50" s="18">
        <v>10</v>
      </c>
      <c r="F50" s="18" t="str">
        <f>VLOOKUP(A50,'ITEM LIST'!A:D,4,FALSE)</f>
        <v>PC</v>
      </c>
      <c r="G50" s="19">
        <v>4571.8749999999991</v>
      </c>
      <c r="H50" s="20">
        <v>5120.4999999999991</v>
      </c>
    </row>
    <row r="51" spans="1:8" ht="27" x14ac:dyDescent="0.35">
      <c r="A51" s="17" t="s">
        <v>3583</v>
      </c>
      <c r="B51" s="10" t="str">
        <f>VLOOKUP(A51,'ITEM LIST'!A:D,3,FALSE)</f>
        <v>STRAWBERRY CAKE, PIECE</v>
      </c>
      <c r="C51" s="10"/>
      <c r="D51" s="10"/>
      <c r="E51" s="18">
        <v>3</v>
      </c>
      <c r="F51" s="18" t="str">
        <f>VLOOKUP(A51,'ITEM LIST'!A:D,4,FALSE)</f>
        <v>PC</v>
      </c>
      <c r="G51" s="19">
        <v>1830.9374999999995</v>
      </c>
      <c r="H51" s="20">
        <v>2050.6499999999996</v>
      </c>
    </row>
    <row r="52" spans="1:8" ht="27" x14ac:dyDescent="0.35">
      <c r="A52" s="17" t="s">
        <v>3776</v>
      </c>
      <c r="B52" s="10" t="str">
        <f>VLOOKUP(A52,'ITEM LIST'!A:D,3,FALSE)</f>
        <v>STRAWBERRY, VACUUM PACKED, PK</v>
      </c>
      <c r="C52" s="10"/>
      <c r="D52" s="10"/>
      <c r="E52" s="18">
        <v>3</v>
      </c>
      <c r="F52" s="18" t="str">
        <f>VLOOKUP(A52,'ITEM LIST'!A:D,4,FALSE)</f>
        <v>PK</v>
      </c>
      <c r="G52" s="19">
        <v>317.32096764705875</v>
      </c>
      <c r="H52" s="20">
        <v>355.39948376470579</v>
      </c>
    </row>
    <row r="53" spans="1:8" ht="27" x14ac:dyDescent="0.35">
      <c r="A53" s="17" t="s">
        <v>2626</v>
      </c>
      <c r="B53" s="10" t="str">
        <f>VLOOKUP(A53,'ITEM LIST'!A:D,3,FALSE)</f>
        <v>MIDNIGHT DREAM CAKE, PC</v>
      </c>
      <c r="C53" s="10"/>
      <c r="D53" s="10"/>
      <c r="E53" s="18">
        <v>9</v>
      </c>
      <c r="F53" s="18" t="str">
        <f>VLOOKUP(A53,'ITEM LIST'!A:D,4,FALSE)</f>
        <v>PC</v>
      </c>
      <c r="G53" s="19">
        <v>4193.4375</v>
      </c>
      <c r="H53" s="20">
        <v>4696.6499999999996</v>
      </c>
    </row>
    <row r="54" spans="1:8" ht="27" x14ac:dyDescent="0.35">
      <c r="A54" s="17" t="s">
        <v>2570</v>
      </c>
      <c r="B54" s="10" t="str">
        <f>VLOOKUP(A54,'ITEM LIST'!A:D,3,FALSE)</f>
        <v xml:space="preserve"> PISTACCHOCOLATO, CAKE MINI, PC </v>
      </c>
      <c r="C54" s="10"/>
      <c r="D54" s="10"/>
      <c r="E54" s="18">
        <v>4</v>
      </c>
      <c r="F54" s="18" t="str">
        <f>VLOOKUP(A54,'ITEM LIST'!A:D,4,FALSE)</f>
        <v>PC</v>
      </c>
      <c r="G54" s="19">
        <v>1391.25</v>
      </c>
      <c r="H54" s="20">
        <v>1558.2</v>
      </c>
    </row>
    <row r="55" spans="1:8" ht="27" x14ac:dyDescent="0.35">
      <c r="A55" s="17" t="s">
        <v>3064</v>
      </c>
      <c r="B55" s="10" t="str">
        <f>VLOOKUP(A55,'ITEM LIST'!A:D,3,FALSE)</f>
        <v>MANGO CREAM PIE 4.5 KG</v>
      </c>
      <c r="C55" s="10"/>
      <c r="D55" s="10"/>
      <c r="E55" s="18">
        <v>0.56000000000000005</v>
      </c>
      <c r="F55" s="18" t="str">
        <f>VLOOKUP(A55,'ITEM LIST'!A:D,4,FALSE)</f>
        <v>TR</v>
      </c>
      <c r="G55" s="19">
        <v>1188</v>
      </c>
      <c r="H55" s="20">
        <v>1330.56</v>
      </c>
    </row>
    <row r="56" spans="1:8" ht="27" x14ac:dyDescent="0.35">
      <c r="A56" s="17" t="s">
        <v>3018</v>
      </c>
      <c r="B56" s="10" t="str">
        <f>VLOOKUP(A56,'ITEM LIST'!A:D,3,FALSE)</f>
        <v>BLUEBERRY CHEESECAKE GELATO, 4.5KG/TRAY</v>
      </c>
      <c r="C56" s="10"/>
      <c r="D56" s="10"/>
      <c r="E56" s="18">
        <v>0.56000000000000005</v>
      </c>
      <c r="F56" s="18" t="str">
        <f>VLOOKUP(A56,'ITEM LIST'!A:D,4,FALSE)</f>
        <v>TR</v>
      </c>
      <c r="G56" s="19">
        <v>1323.0000000000002</v>
      </c>
      <c r="H56" s="20">
        <v>1481.7600000000002</v>
      </c>
    </row>
    <row r="57" spans="1:8" ht="27" x14ac:dyDescent="0.35">
      <c r="A57" s="17" t="s">
        <v>2762</v>
      </c>
      <c r="B57" s="10" t="str">
        <f>VLOOKUP(A57,'ITEM LIST'!A:D,3,FALSE)</f>
        <v>TURTLE PIE, 2.5KG/TRAY</v>
      </c>
      <c r="C57" s="10"/>
      <c r="D57" s="10"/>
      <c r="E57" s="18">
        <v>1</v>
      </c>
      <c r="F57" s="18" t="str">
        <f>VLOOKUP(A57,'ITEM LIST'!A:D,4,FALSE)</f>
        <v>TR</v>
      </c>
      <c r="G57" s="19">
        <v>1312.5</v>
      </c>
      <c r="H57" s="20">
        <v>1470</v>
      </c>
    </row>
    <row r="58" spans="1:8" ht="27" x14ac:dyDescent="0.35">
      <c r="A58" s="17" t="s">
        <v>2234</v>
      </c>
      <c r="B58" s="10" t="str">
        <f>VLOOKUP(A58,'ITEM LIST'!A:D,3,FALSE)</f>
        <v>NEW PISTACHIO, 4.5KG/TRAY</v>
      </c>
      <c r="C58" s="10"/>
      <c r="D58" s="10"/>
      <c r="E58" s="18">
        <v>0.56000000000000005</v>
      </c>
      <c r="F58" s="18" t="str">
        <f>VLOOKUP(A58,'ITEM LIST'!A:D,4,FALSE)</f>
        <v>TR</v>
      </c>
      <c r="G58" s="19">
        <v>1323.0000000000002</v>
      </c>
      <c r="H58" s="20">
        <v>1481.7600000000002</v>
      </c>
    </row>
    <row r="59" spans="1:8" ht="27" x14ac:dyDescent="0.35">
      <c r="A59" s="17" t="s">
        <v>2222</v>
      </c>
      <c r="B59" s="10" t="str">
        <f>VLOOKUP(A59,'ITEM LIST'!A:D,3,FALSE)</f>
        <v>NEW FERRERO, 2.5KG/TRAY</v>
      </c>
      <c r="C59" s="10"/>
      <c r="D59" s="10"/>
      <c r="E59" s="18">
        <v>1</v>
      </c>
      <c r="F59" s="18" t="str">
        <f>VLOOKUP(A59,'ITEM LIST'!A:D,4,FALSE)</f>
        <v>TR</v>
      </c>
      <c r="G59" s="19">
        <v>1312.4999999999998</v>
      </c>
      <c r="H59" s="20">
        <v>1469.9999999999998</v>
      </c>
    </row>
    <row r="60" spans="1:8" ht="27" x14ac:dyDescent="0.35">
      <c r="A60" s="17" t="s">
        <v>4021</v>
      </c>
      <c r="B60" s="10" t="str">
        <f>VLOOKUP(A60,'ITEM LIST'!A:D,3,FALSE)</f>
        <v>CHOCOLATE JAVA CAKE, PC</v>
      </c>
      <c r="C60" s="10"/>
      <c r="D60" s="10"/>
      <c r="E60" s="18">
        <v>9</v>
      </c>
      <c r="F60" s="18" t="str">
        <f>VLOOKUP(A60,'ITEM LIST'!A:D,4,FALSE)</f>
        <v>PC</v>
      </c>
      <c r="G60" s="19">
        <v>3917.8124999999995</v>
      </c>
      <c r="H60" s="20">
        <v>4387.95</v>
      </c>
    </row>
    <row r="61" spans="1:8" ht="27" x14ac:dyDescent="0.35">
      <c r="A61" s="17" t="s">
        <v>3702</v>
      </c>
      <c r="B61" s="10" t="str">
        <f>VLOOKUP(A61,'ITEM LIST'!A:D,3,FALSE)</f>
        <v>UBE CAKE, PC</v>
      </c>
      <c r="C61" s="10"/>
      <c r="D61" s="10"/>
      <c r="E61" s="18">
        <v>18</v>
      </c>
      <c r="F61" s="18" t="str">
        <f>VLOOKUP(A61,'ITEM LIST'!A:D,4,FALSE)</f>
        <v>PC</v>
      </c>
      <c r="G61" s="19">
        <v>8229.3749999999982</v>
      </c>
      <c r="H61" s="20">
        <v>9216.8999999999978</v>
      </c>
    </row>
    <row r="62" spans="1:8" ht="27" x14ac:dyDescent="0.35">
      <c r="A62" s="17" t="s">
        <v>3591</v>
      </c>
      <c r="B62" s="10" t="str">
        <f>VLOOKUP(A62,'ITEM LIST'!A:D,3,FALSE)</f>
        <v>MIDNIGHT DREAM CAKE, WHOLE, MINI</v>
      </c>
      <c r="C62" s="10"/>
      <c r="D62" s="10"/>
      <c r="E62" s="18">
        <v>4</v>
      </c>
      <c r="F62" s="18" t="str">
        <f>VLOOKUP(A62,'ITEM LIST'!A:D,4,FALSE)</f>
        <v>PC</v>
      </c>
      <c r="G62" s="19">
        <v>1303.75</v>
      </c>
      <c r="H62" s="20">
        <v>1460.2</v>
      </c>
    </row>
    <row r="63" spans="1:8" ht="27" x14ac:dyDescent="0.35">
      <c r="A63" s="17" t="s">
        <v>3587</v>
      </c>
      <c r="B63" s="10" t="str">
        <f>VLOOKUP(A63,'ITEM LIST'!A:D,3,FALSE)</f>
        <v>CASHEW BRITTLE, 10 GRAMS PER PACK</v>
      </c>
      <c r="C63" s="10"/>
      <c r="D63" s="10"/>
      <c r="E63" s="18">
        <v>4</v>
      </c>
      <c r="F63" s="18" t="str">
        <f>VLOOKUP(A63,'ITEM LIST'!A:D,4,FALSE)</f>
        <v>PK</v>
      </c>
      <c r="G63" s="19">
        <v>14.023206896551724</v>
      </c>
      <c r="H63" s="20">
        <v>15.705991724137931</v>
      </c>
    </row>
    <row r="64" spans="1:8" ht="29.25" customHeight="1" x14ac:dyDescent="0.35">
      <c r="A64" s="17" t="s">
        <v>3058</v>
      </c>
      <c r="B64" s="10" t="str">
        <f>VLOOKUP(A64,'ITEM LIST'!A:D,3,FALSE)</f>
        <v>SEA SALTED CRUNCH 140 GM</v>
      </c>
      <c r="C64" s="10"/>
      <c r="D64" s="10"/>
      <c r="E64" s="18">
        <v>10</v>
      </c>
      <c r="F64" s="18" t="str">
        <f>VLOOKUP(A64,'ITEM LIST'!A:D,4,FALSE)</f>
        <v>PK</v>
      </c>
      <c r="G64" s="19">
        <v>131.32999999999998</v>
      </c>
      <c r="H64" s="20">
        <v>147.08959999999999</v>
      </c>
    </row>
    <row r="65" spans="1:8" ht="27" x14ac:dyDescent="0.35">
      <c r="A65" s="17" t="s">
        <v>2460</v>
      </c>
      <c r="B65" s="10" t="str">
        <f>VLOOKUP(A65,'ITEM LIST'!A:D,3,FALSE)</f>
        <v>PISTACCHOCOLATO, WHOLE</v>
      </c>
      <c r="C65" s="10"/>
      <c r="D65" s="10"/>
      <c r="E65" s="18">
        <v>10</v>
      </c>
      <c r="F65" s="18" t="str">
        <f>VLOOKUP(A65,'ITEM LIST'!A:D,4,FALSE)</f>
        <v>PC</v>
      </c>
      <c r="G65" s="19">
        <v>4790.6249999999991</v>
      </c>
      <c r="H65" s="20">
        <v>5365.4999999999991</v>
      </c>
    </row>
    <row r="66" spans="1:8" ht="24.75" customHeight="1" x14ac:dyDescent="0.35">
      <c r="A66" s="17" t="s">
        <v>3020</v>
      </c>
      <c r="B66" s="10" t="str">
        <f>VLOOKUP(A66,'ITEM LIST'!A:D,3,FALSE)</f>
        <v>CHOCOLATE THERAPY GELATO, 4.5/TRAY</v>
      </c>
      <c r="C66" s="10"/>
      <c r="D66" s="10"/>
      <c r="E66" s="18">
        <v>0.56000000000000005</v>
      </c>
      <c r="F66" s="18" t="str">
        <f>VLOOKUP(A66,'ITEM LIST'!A:D,4,FALSE)</f>
        <v>TR</v>
      </c>
      <c r="G66" s="19">
        <v>1323.0000000000002</v>
      </c>
      <c r="H66" s="20">
        <v>1481.7600000000002</v>
      </c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79909.802257002506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8561.7645275359828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71348.037729466523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71348.037729466523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8561.7645275359828</v>
      </c>
      <c r="G83" s="38"/>
      <c r="H83" s="35">
        <f>F83</f>
        <v>8561.7645275359828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713.48037729466523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79196.321879707844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FF83-4A8E-48F2-9B2D-30299A693B60}">
  <sheetPr>
    <pageSetUpPr fitToPage="1"/>
  </sheetPr>
  <dimension ref="A10:H86"/>
  <sheetViews>
    <sheetView view="pageBreakPreview" topLeftCell="A41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5278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2224</v>
      </c>
      <c r="B27" s="10" t="str">
        <f>VLOOKUP(A27,'ITEM LIST'!A:D,3,FALSE)</f>
        <v>NEW MINT, 2.5KG/TRAY</v>
      </c>
      <c r="C27" s="10"/>
      <c r="D27" s="10"/>
      <c r="E27" s="18">
        <v>1</v>
      </c>
      <c r="F27" s="18" t="str">
        <f>VLOOKUP(A27,'ITEM LIST'!A:D,4,FALSE)</f>
        <v>TR</v>
      </c>
      <c r="G27" s="19">
        <v>1312.4999999999998</v>
      </c>
      <c r="H27" s="20">
        <v>1469.9999999999998</v>
      </c>
    </row>
    <row r="28" spans="1:8" ht="27" x14ac:dyDescent="0.35">
      <c r="A28" s="17" t="s">
        <v>4019</v>
      </c>
      <c r="B28" s="10" t="str">
        <f>VLOOKUP(A28,'ITEM LIST'!A:D,3,FALSE)</f>
        <v>COFFEE CRUNCH,  70 G/PK, PK</v>
      </c>
      <c r="C28" s="10"/>
      <c r="D28" s="10"/>
      <c r="E28" s="18">
        <v>9</v>
      </c>
      <c r="F28" s="18" t="str">
        <f>VLOOKUP(A28,'ITEM LIST'!A:D,4,FALSE)</f>
        <v>PK</v>
      </c>
      <c r="G28" s="19">
        <v>107.10000000000001</v>
      </c>
      <c r="H28" s="20">
        <v>119.95200000000001</v>
      </c>
    </row>
    <row r="29" spans="1:8" ht="27" x14ac:dyDescent="0.35">
      <c r="A29" s="17" t="s">
        <v>3772</v>
      </c>
      <c r="B29" s="10" t="str">
        <f>VLOOKUP(A29,'ITEM LIST'!A:D,3,FALSE)</f>
        <v>MINI UBE CAKE</v>
      </c>
      <c r="C29" s="10"/>
      <c r="D29" s="10"/>
      <c r="E29" s="18">
        <v>8</v>
      </c>
      <c r="F29" s="18" t="str">
        <f>VLOOKUP(A29,'ITEM LIST'!A:D,4,FALSE)</f>
        <v>PC</v>
      </c>
      <c r="G29" s="19">
        <v>2607.5</v>
      </c>
      <c r="H29" s="20">
        <v>2920.4</v>
      </c>
    </row>
    <row r="30" spans="1:8" ht="27" x14ac:dyDescent="0.35">
      <c r="A30" s="17" t="s">
        <v>2682</v>
      </c>
      <c r="B30" s="10" t="str">
        <f>VLOOKUP(A30,'ITEM LIST'!A:D,3,FALSE)</f>
        <v>SEA SALTED HONEY CRUNCH CAKE</v>
      </c>
      <c r="C30" s="10"/>
      <c r="D30" s="10"/>
      <c r="E30" s="18">
        <v>10</v>
      </c>
      <c r="F30" s="18" t="str">
        <f>VLOOKUP(A30,'ITEM LIST'!A:D,4,FALSE)</f>
        <v>PC</v>
      </c>
      <c r="G30" s="19">
        <v>3784.3749999999995</v>
      </c>
      <c r="H30" s="20">
        <v>4238.4999999999991</v>
      </c>
    </row>
    <row r="31" spans="1:8" ht="27" x14ac:dyDescent="0.35">
      <c r="A31" s="17" t="s">
        <v>2296</v>
      </c>
      <c r="B31" s="10" t="str">
        <f>VLOOKUP(A31,'ITEM LIST'!A:D,3,FALSE)</f>
        <v>BLANK HAPPY BIRTHDAY LABEL, 24PCS/BX</v>
      </c>
      <c r="C31" s="10"/>
      <c r="D31" s="10"/>
      <c r="E31" s="18">
        <v>4</v>
      </c>
      <c r="F31" s="18" t="str">
        <f>VLOOKUP(A31,'ITEM LIST'!A:D,4,FALSE)</f>
        <v>BX</v>
      </c>
      <c r="G31" s="19">
        <v>621.98452800000007</v>
      </c>
      <c r="H31" s="20">
        <v>696.62267136000003</v>
      </c>
    </row>
    <row r="32" spans="1:8" ht="27" x14ac:dyDescent="0.35">
      <c r="A32" s="17" t="s">
        <v>4021</v>
      </c>
      <c r="B32" s="10" t="str">
        <f>VLOOKUP(A32,'ITEM LIST'!A:D,3,FALSE)</f>
        <v>CHOCOLATE JAVA CAKE, PC</v>
      </c>
      <c r="C32" s="10"/>
      <c r="D32" s="10"/>
      <c r="E32" s="18">
        <v>10</v>
      </c>
      <c r="F32" s="18" t="str">
        <f>VLOOKUP(A32,'ITEM LIST'!A:D,4,FALSE)</f>
        <v>PC</v>
      </c>
      <c r="G32" s="19">
        <v>4353.1249999999991</v>
      </c>
      <c r="H32" s="20">
        <v>4875.4999999999991</v>
      </c>
    </row>
    <row r="33" spans="1:8" ht="27" x14ac:dyDescent="0.35">
      <c r="A33" s="17" t="s">
        <v>3798</v>
      </c>
      <c r="B33" s="10" t="str">
        <f>VLOOKUP(A33,'ITEM LIST'!A:D,3,FALSE)</f>
        <v>MANGO MAGNIFICO CAKE, WHOLE, NEW DESIGN</v>
      </c>
      <c r="C33" s="10"/>
      <c r="D33" s="10"/>
      <c r="E33" s="18">
        <v>10</v>
      </c>
      <c r="F33" s="18" t="str">
        <f>VLOOKUP(A33,'ITEM LIST'!A:D,4,FALSE)</f>
        <v>PC</v>
      </c>
      <c r="G33" s="19">
        <v>4571.8749999999991</v>
      </c>
      <c r="H33" s="20">
        <v>5120.4999999999991</v>
      </c>
    </row>
    <row r="34" spans="1:8" ht="27" x14ac:dyDescent="0.35">
      <c r="A34" s="17" t="s">
        <v>3772</v>
      </c>
      <c r="B34" s="10" t="str">
        <f>VLOOKUP(A34,'ITEM LIST'!A:D,3,FALSE)</f>
        <v>MINI UBE CAKE</v>
      </c>
      <c r="C34" s="10"/>
      <c r="D34" s="10"/>
      <c r="E34" s="18">
        <v>4</v>
      </c>
      <c r="F34" s="18" t="str">
        <f>VLOOKUP(A34,'ITEM LIST'!A:D,4,FALSE)</f>
        <v>PC</v>
      </c>
      <c r="G34" s="19">
        <v>1303.75</v>
      </c>
      <c r="H34" s="20">
        <v>1460.2</v>
      </c>
    </row>
    <row r="35" spans="1:8" ht="27" x14ac:dyDescent="0.35">
      <c r="A35" s="17" t="s">
        <v>3702</v>
      </c>
      <c r="B35" s="10" t="str">
        <f>VLOOKUP(A35,'ITEM LIST'!A:D,3,FALSE)</f>
        <v>UBE CAKE, PC</v>
      </c>
      <c r="C35" s="10"/>
      <c r="D35" s="10"/>
      <c r="E35" s="18">
        <v>22</v>
      </c>
      <c r="F35" s="18" t="str">
        <f>VLOOKUP(A35,'ITEM LIST'!A:D,4,FALSE)</f>
        <v>PC</v>
      </c>
      <c r="G35" s="19">
        <v>10058.124999999998</v>
      </c>
      <c r="H35" s="20">
        <v>11265.099999999999</v>
      </c>
    </row>
    <row r="36" spans="1:8" ht="27" x14ac:dyDescent="0.35">
      <c r="A36" s="17" t="s">
        <v>3058</v>
      </c>
      <c r="B36" s="10" t="str">
        <f>VLOOKUP(A36,'ITEM LIST'!A:D,3,FALSE)</f>
        <v>SEA SALTED CRUNCH 140 GM</v>
      </c>
      <c r="C36" s="10"/>
      <c r="D36" s="10"/>
      <c r="E36" s="18">
        <v>10</v>
      </c>
      <c r="F36" s="18" t="str">
        <f>VLOOKUP(A36,'ITEM LIST'!A:D,4,FALSE)</f>
        <v>PK</v>
      </c>
      <c r="G36" s="19">
        <v>131.32999999999998</v>
      </c>
      <c r="H36" s="20">
        <v>147.08959999999999</v>
      </c>
    </row>
    <row r="37" spans="1:8" ht="27" x14ac:dyDescent="0.35">
      <c r="A37" s="17" t="s">
        <v>2626</v>
      </c>
      <c r="B37" s="10" t="str">
        <f>VLOOKUP(A37,'ITEM LIST'!A:D,3,FALSE)</f>
        <v>MIDNIGHT DREAM CAKE, PC</v>
      </c>
      <c r="C37" s="10"/>
      <c r="D37" s="10"/>
      <c r="E37" s="18">
        <v>12</v>
      </c>
      <c r="F37" s="18" t="str">
        <f>VLOOKUP(A37,'ITEM LIST'!A:D,4,FALSE)</f>
        <v>PC</v>
      </c>
      <c r="G37" s="19">
        <v>5591.25</v>
      </c>
      <c r="H37" s="20">
        <v>6262.2</v>
      </c>
    </row>
    <row r="38" spans="1:8" ht="27" x14ac:dyDescent="0.35">
      <c r="A38" s="17" t="s">
        <v>3030</v>
      </c>
      <c r="B38" s="10" t="str">
        <f>VLOOKUP(A38,'ITEM LIST'!A:D,3,FALSE)</f>
        <v>OREO COOKIES N' CREAM, 4.5KG./TRAY</v>
      </c>
      <c r="C38" s="10"/>
      <c r="D38" s="10"/>
      <c r="E38" s="18">
        <v>0.56000000000000005</v>
      </c>
      <c r="F38" s="18" t="str">
        <f>VLOOKUP(A38,'ITEM LIST'!A:D,4,FALSE)</f>
        <v>TR</v>
      </c>
      <c r="G38" s="19">
        <v>1323.0000000000002</v>
      </c>
      <c r="H38" s="20">
        <v>1481.7600000000002</v>
      </c>
    </row>
    <row r="39" spans="1:8" ht="27" x14ac:dyDescent="0.35">
      <c r="A39" s="17" t="s">
        <v>2460</v>
      </c>
      <c r="B39" s="10" t="str">
        <f>VLOOKUP(A39,'ITEM LIST'!A:D,3,FALSE)</f>
        <v>PISTACCHOCOLATO, WHOLE</v>
      </c>
      <c r="C39" s="10"/>
      <c r="D39" s="10"/>
      <c r="E39" s="18">
        <v>12</v>
      </c>
      <c r="F39" s="18" t="str">
        <f>VLOOKUP(A39,'ITEM LIST'!A:D,4,FALSE)</f>
        <v>PC</v>
      </c>
      <c r="G39" s="19">
        <v>5748.7499999999982</v>
      </c>
      <c r="H39" s="20">
        <v>6438.5999999999976</v>
      </c>
    </row>
    <row r="40" spans="1:8" ht="27" x14ac:dyDescent="0.35">
      <c r="A40" s="17" t="s">
        <v>3762</v>
      </c>
      <c r="B40" s="10" t="str">
        <f>VLOOKUP(A40,'ITEM LIST'!A:D,3,FALSE)</f>
        <v>UBE GELATO, 2.5 KG/TRAY</v>
      </c>
      <c r="C40" s="10"/>
      <c r="D40" s="10"/>
      <c r="E40" s="18">
        <v>1</v>
      </c>
      <c r="F40" s="18" t="str">
        <f>VLOOKUP(A40,'ITEM LIST'!A:D,4,FALSE)</f>
        <v>TR</v>
      </c>
      <c r="G40" s="19">
        <v>1312.5</v>
      </c>
      <c r="H40" s="20">
        <v>1470</v>
      </c>
    </row>
    <row r="41" spans="1:8" ht="27" x14ac:dyDescent="0.35">
      <c r="A41" s="17" t="s">
        <v>3018</v>
      </c>
      <c r="B41" s="10" t="str">
        <f>VLOOKUP(A41,'ITEM LIST'!A:D,3,FALSE)</f>
        <v>BLUEBERRY CHEESECAKE GELATO, 4.5KG/TRAY</v>
      </c>
      <c r="C41" s="10"/>
      <c r="D41" s="10"/>
      <c r="E41" s="18">
        <v>0.56000000000000005</v>
      </c>
      <c r="F41" s="18" t="str">
        <f>VLOOKUP(A41,'ITEM LIST'!A:D,4,FALSE)</f>
        <v>TR</v>
      </c>
      <c r="G41" s="19">
        <v>1323.0000000000002</v>
      </c>
      <c r="H41" s="20">
        <v>1481.7600000000002</v>
      </c>
    </row>
    <row r="42" spans="1:8" ht="27" x14ac:dyDescent="0.35">
      <c r="A42" s="17" t="s">
        <v>2574</v>
      </c>
      <c r="B42" s="10" t="str">
        <f>VLOOKUP(A42,'ITEM LIST'!A:D,3,FALSE)</f>
        <v>COOKIE DOUGH GELATO, 2.5/TRAY</v>
      </c>
      <c r="C42" s="10"/>
      <c r="D42" s="10"/>
      <c r="E42" s="18">
        <v>1</v>
      </c>
      <c r="F42" s="18" t="str">
        <f>VLOOKUP(A42,'ITEM LIST'!A:D,4,FALSE)</f>
        <v>TR</v>
      </c>
      <c r="G42" s="19">
        <v>1312.5</v>
      </c>
      <c r="H42" s="20">
        <v>1470</v>
      </c>
    </row>
    <row r="43" spans="1:8" ht="27" x14ac:dyDescent="0.35">
      <c r="A43" s="17" t="s">
        <v>3020</v>
      </c>
      <c r="B43" s="10" t="str">
        <f>VLOOKUP(A43,'ITEM LIST'!A:D,3,FALSE)</f>
        <v>CHOCOLATE THERAPY GELATO, 4.5/TRAY</v>
      </c>
      <c r="C43" s="10"/>
      <c r="D43" s="10"/>
      <c r="E43" s="18">
        <v>0.56000000000000005</v>
      </c>
      <c r="F43" s="18" t="str">
        <f>VLOOKUP(A43,'ITEM LIST'!A:D,4,FALSE)</f>
        <v>TR</v>
      </c>
      <c r="G43" s="19">
        <v>1323.0000000000002</v>
      </c>
      <c r="H43" s="20">
        <v>1481.7600000000002</v>
      </c>
    </row>
    <row r="44" spans="1:8" ht="27" x14ac:dyDescent="0.35">
      <c r="A44" s="17" t="s">
        <v>4019</v>
      </c>
      <c r="B44" s="10" t="str">
        <f>VLOOKUP(A44,'ITEM LIST'!A:D,3,FALSE)</f>
        <v>COFFEE CRUNCH,  70 G/PK, PK</v>
      </c>
      <c r="C44" s="10"/>
      <c r="D44" s="10"/>
      <c r="E44" s="18">
        <v>10</v>
      </c>
      <c r="F44" s="18" t="str">
        <f>VLOOKUP(A44,'ITEM LIST'!A:D,4,FALSE)</f>
        <v>PK</v>
      </c>
      <c r="G44" s="19">
        <v>119</v>
      </c>
      <c r="H44" s="20">
        <v>133.28</v>
      </c>
    </row>
    <row r="45" spans="1:8" ht="27" x14ac:dyDescent="0.35">
      <c r="A45" s="17" t="s">
        <v>3587</v>
      </c>
      <c r="B45" s="10" t="str">
        <f>VLOOKUP(A45,'ITEM LIST'!A:D,3,FALSE)</f>
        <v>CASHEW BRITTLE, 10 GRAMS PER PACK</v>
      </c>
      <c r="C45" s="10"/>
      <c r="D45" s="10"/>
      <c r="E45" s="18">
        <v>5</v>
      </c>
      <c r="F45" s="18" t="str">
        <f>VLOOKUP(A45,'ITEM LIST'!A:D,4,FALSE)</f>
        <v>PK</v>
      </c>
      <c r="G45" s="19">
        <v>17.529008620689655</v>
      </c>
      <c r="H45" s="20">
        <v>19.632489655172414</v>
      </c>
    </row>
    <row r="46" spans="1:8" ht="27" x14ac:dyDescent="0.35">
      <c r="A46" s="17" t="s">
        <v>3583</v>
      </c>
      <c r="B46" s="10" t="str">
        <f>VLOOKUP(A46,'ITEM LIST'!A:D,3,FALSE)</f>
        <v>STRAWBERRY CAKE, PIECE</v>
      </c>
      <c r="C46" s="10"/>
      <c r="D46" s="10"/>
      <c r="E46" s="18">
        <v>3</v>
      </c>
      <c r="F46" s="18" t="str">
        <f>VLOOKUP(A46,'ITEM LIST'!A:D,4,FALSE)</f>
        <v>PC</v>
      </c>
      <c r="G46" s="19">
        <v>1830.9374999999995</v>
      </c>
      <c r="H46" s="20">
        <v>2050.6499999999996</v>
      </c>
    </row>
    <row r="47" spans="1:8" ht="27" x14ac:dyDescent="0.35">
      <c r="A47" s="17" t="s">
        <v>3776</v>
      </c>
      <c r="B47" s="10" t="str">
        <f>VLOOKUP(A47,'ITEM LIST'!A:D,3,FALSE)</f>
        <v>STRAWBERRY, VACUUM PACKED, PK</v>
      </c>
      <c r="C47" s="10"/>
      <c r="D47" s="10"/>
      <c r="E47" s="18">
        <v>3</v>
      </c>
      <c r="F47" s="18" t="str">
        <f>VLOOKUP(A47,'ITEM LIST'!A:D,4,FALSE)</f>
        <v>PK</v>
      </c>
      <c r="G47" s="19">
        <v>317.32096764705875</v>
      </c>
      <c r="H47" s="20">
        <v>355.39948376470579</v>
      </c>
    </row>
    <row r="48" spans="1:8" ht="27" x14ac:dyDescent="0.35">
      <c r="A48" s="17" t="s">
        <v>2628</v>
      </c>
      <c r="B48" s="10" t="str">
        <f>VLOOKUP(A48,'ITEM LIST'!A:D,3,FALSE)</f>
        <v>CASHEW BRITTLE, 15G/PK, PK</v>
      </c>
      <c r="C48" s="10"/>
      <c r="D48" s="10"/>
      <c r="E48" s="18">
        <v>12</v>
      </c>
      <c r="F48" s="18" t="str">
        <f>VLOOKUP(A48,'ITEM LIST'!A:D,4,FALSE)</f>
        <v>PK</v>
      </c>
      <c r="G48" s="19">
        <v>63.104431034482751</v>
      </c>
      <c r="H48" s="20">
        <v>70.676962758620675</v>
      </c>
    </row>
    <row r="49" spans="1:8" ht="27" x14ac:dyDescent="0.35">
      <c r="A49" s="17" t="s">
        <v>3014</v>
      </c>
      <c r="B49" s="10" t="str">
        <f>VLOOKUP(A49,'ITEM LIST'!A:D,3,FALSE)</f>
        <v>STRAWBERRY GELATO, 2.5 KG TRAY</v>
      </c>
      <c r="C49" s="10"/>
      <c r="D49" s="10"/>
      <c r="E49" s="18">
        <v>1</v>
      </c>
      <c r="F49" s="18" t="str">
        <f>VLOOKUP(A49,'ITEM LIST'!A:D,4,FALSE)</f>
        <v>TR</v>
      </c>
      <c r="G49" s="19">
        <v>1312.5</v>
      </c>
      <c r="H49" s="20">
        <v>1470</v>
      </c>
    </row>
    <row r="50" spans="1:8" ht="27" x14ac:dyDescent="0.35">
      <c r="A50" s="17" t="s">
        <v>2222</v>
      </c>
      <c r="B50" s="10" t="str">
        <f>VLOOKUP(A50,'ITEM LIST'!A:D,3,FALSE)</f>
        <v>NEW FERRERO, 2.5KG/TRAY</v>
      </c>
      <c r="C50" s="10"/>
      <c r="D50" s="10"/>
      <c r="E50" s="18">
        <v>1</v>
      </c>
      <c r="F50" s="18" t="str">
        <f>VLOOKUP(A50,'ITEM LIST'!A:D,4,FALSE)</f>
        <v>TR</v>
      </c>
      <c r="G50" s="19">
        <v>1312.4999999999998</v>
      </c>
      <c r="H50" s="20">
        <v>1469.9999999999998</v>
      </c>
    </row>
    <row r="51" spans="1:8" ht="27" x14ac:dyDescent="0.35">
      <c r="A51" s="17" t="s">
        <v>2274</v>
      </c>
      <c r="B51" s="10" t="str">
        <f>VLOOKUP(A51,'ITEM LIST'!A:D,3,FALSE)</f>
        <v>STRAWBERRY FROZEN, 150G / PACK</v>
      </c>
      <c r="C51" s="10"/>
      <c r="D51" s="10"/>
      <c r="E51" s="18">
        <v>1</v>
      </c>
      <c r="F51" s="18" t="str">
        <f>VLOOKUP(A51,'ITEM LIST'!A:D,4,FALSE)</f>
        <v>PK</v>
      </c>
      <c r="G51" s="19">
        <v>35.58</v>
      </c>
      <c r="H51" s="20">
        <v>39.849599999999995</v>
      </c>
    </row>
    <row r="52" spans="1:8" ht="27" x14ac:dyDescent="0.35">
      <c r="A52" s="17" t="s">
        <v>3939</v>
      </c>
      <c r="B52" s="10" t="str">
        <f>VLOOKUP(A52,'ITEM LIST'!A:D,3,FALSE)</f>
        <v>SALTED CHOCOLATE SMORES CAKE, NEW, PC</v>
      </c>
      <c r="C52" s="10"/>
      <c r="D52" s="10"/>
      <c r="E52" s="18">
        <v>10</v>
      </c>
      <c r="F52" s="18" t="str">
        <f>VLOOKUP(A52,'ITEM LIST'!A:D,4,FALSE)</f>
        <v>PC</v>
      </c>
      <c r="G52" s="19">
        <v>4571.8749999999991</v>
      </c>
      <c r="H52" s="20">
        <v>5120.4999999999991</v>
      </c>
    </row>
    <row r="53" spans="1:8" ht="27" x14ac:dyDescent="0.35">
      <c r="A53" s="17" t="s">
        <v>2682</v>
      </c>
      <c r="B53" s="10" t="str">
        <f>VLOOKUP(A53,'ITEM LIST'!A:D,3,FALSE)</f>
        <v>SEA SALTED HONEY CRUNCH CAKE</v>
      </c>
      <c r="C53" s="10"/>
      <c r="D53" s="10"/>
      <c r="E53" s="18">
        <v>10</v>
      </c>
      <c r="F53" s="18" t="str">
        <f>VLOOKUP(A53,'ITEM LIST'!A:D,4,FALSE)</f>
        <v>PC</v>
      </c>
      <c r="G53" s="19">
        <v>3784.3749999999995</v>
      </c>
      <c r="H53" s="20">
        <v>4238.4999999999991</v>
      </c>
    </row>
    <row r="54" spans="1:8" ht="27" x14ac:dyDescent="0.35">
      <c r="A54" s="17" t="s">
        <v>2762</v>
      </c>
      <c r="B54" s="10" t="str">
        <f>VLOOKUP(A54,'ITEM LIST'!A:D,3,FALSE)</f>
        <v>TURTLE PIE, 2.5KG/TRAY</v>
      </c>
      <c r="C54" s="10"/>
      <c r="D54" s="10"/>
      <c r="E54" s="18">
        <v>1</v>
      </c>
      <c r="F54" s="18" t="str">
        <f>VLOOKUP(A54,'ITEM LIST'!A:D,4,FALSE)</f>
        <v>TR</v>
      </c>
      <c r="G54" s="19">
        <v>1312.5</v>
      </c>
      <c r="H54" s="20">
        <v>1470</v>
      </c>
    </row>
    <row r="55" spans="1:8" ht="27" x14ac:dyDescent="0.35">
      <c r="A55" s="17" t="s">
        <v>2570</v>
      </c>
      <c r="B55" s="10" t="str">
        <f>VLOOKUP(A55,'ITEM LIST'!A:D,3,FALSE)</f>
        <v xml:space="preserve"> PISTACCHOCOLATO, CAKE MINI, PC </v>
      </c>
      <c r="C55" s="10"/>
      <c r="D55" s="10"/>
      <c r="E55" s="18">
        <v>4</v>
      </c>
      <c r="F55" s="18" t="str">
        <f>VLOOKUP(A55,'ITEM LIST'!A:D,4,FALSE)</f>
        <v>PC</v>
      </c>
      <c r="G55" s="19">
        <v>1391.25</v>
      </c>
      <c r="H55" s="20">
        <v>1558.2</v>
      </c>
    </row>
    <row r="56" spans="1:8" ht="27" x14ac:dyDescent="0.35">
      <c r="A56" s="17" t="s">
        <v>3591</v>
      </c>
      <c r="B56" s="10" t="str">
        <f>VLOOKUP(A56,'ITEM LIST'!A:D,3,FALSE)</f>
        <v>MIDNIGHT DREAM CAKE, WHOLE, MINI</v>
      </c>
      <c r="C56" s="10"/>
      <c r="D56" s="10"/>
      <c r="E56" s="18">
        <v>5</v>
      </c>
      <c r="F56" s="18" t="str">
        <f>VLOOKUP(A56,'ITEM LIST'!A:D,4,FALSE)</f>
        <v>PC</v>
      </c>
      <c r="G56" s="19">
        <v>1629.6875</v>
      </c>
      <c r="H56" s="20">
        <v>1825.25</v>
      </c>
    </row>
    <row r="57" spans="1:8" ht="27" x14ac:dyDescent="0.35">
      <c r="A57" s="17" t="s">
        <v>3915</v>
      </c>
      <c r="B57" s="10" t="str">
        <f>VLOOKUP(A57,'ITEM LIST'!A:D,3,FALSE)</f>
        <v>MINI MANGO MAGNIFICO, PC</v>
      </c>
      <c r="C57" s="10"/>
      <c r="D57" s="10"/>
      <c r="E57" s="18">
        <v>4</v>
      </c>
      <c r="F57" s="18" t="str">
        <f>VLOOKUP(A57,'ITEM LIST'!A:D,4,FALSE)</f>
        <v>PC</v>
      </c>
      <c r="G57" s="19">
        <v>1303.75</v>
      </c>
      <c r="H57" s="20">
        <v>1460.2</v>
      </c>
    </row>
    <row r="58" spans="1:8" ht="27" x14ac:dyDescent="0.35">
      <c r="A58" s="17" t="s">
        <v>2460</v>
      </c>
      <c r="B58" s="10" t="str">
        <f>VLOOKUP(A58,'ITEM LIST'!A:D,3,FALSE)</f>
        <v>PISTACCHOCOLATO, WHOLE</v>
      </c>
      <c r="C58" s="10"/>
      <c r="D58" s="10"/>
      <c r="E58" s="18">
        <v>12</v>
      </c>
      <c r="F58" s="18" t="str">
        <f>VLOOKUP(A58,'ITEM LIST'!A:D,4,FALSE)</f>
        <v>PC</v>
      </c>
      <c r="G58" s="19">
        <v>5748.7499999999982</v>
      </c>
      <c r="H58" s="20">
        <v>6438.5999999999976</v>
      </c>
    </row>
    <row r="59" spans="1:8" ht="27" x14ac:dyDescent="0.35">
      <c r="A59" s="17" t="s">
        <v>4019</v>
      </c>
      <c r="B59" s="10" t="str">
        <f>VLOOKUP(A59,'ITEM LIST'!A:D,3,FALSE)</f>
        <v>COFFEE CRUNCH,  70 G/PK, PK</v>
      </c>
      <c r="C59" s="10"/>
      <c r="D59" s="10"/>
      <c r="E59" s="18">
        <v>13</v>
      </c>
      <c r="F59" s="18" t="str">
        <f>VLOOKUP(A59,'ITEM LIST'!A:D,4,FALSE)</f>
        <v>PK</v>
      </c>
      <c r="G59" s="19">
        <v>154.70000000000002</v>
      </c>
      <c r="H59" s="20">
        <v>173.26400000000001</v>
      </c>
    </row>
    <row r="60" spans="1:8" ht="27" x14ac:dyDescent="0.35">
      <c r="A60" s="17" t="s">
        <v>3939</v>
      </c>
      <c r="B60" s="10" t="str">
        <f>VLOOKUP(A60,'ITEM LIST'!A:D,3,FALSE)</f>
        <v>SALTED CHOCOLATE SMORES CAKE, NEW, PC</v>
      </c>
      <c r="C60" s="10"/>
      <c r="D60" s="10"/>
      <c r="E60" s="18">
        <v>9</v>
      </c>
      <c r="F60" s="18" t="str">
        <f>VLOOKUP(A60,'ITEM LIST'!A:D,4,FALSE)</f>
        <v>PC</v>
      </c>
      <c r="G60" s="19">
        <v>4114.6874999999991</v>
      </c>
      <c r="H60" s="20">
        <v>4608.4499999999989</v>
      </c>
    </row>
    <row r="61" spans="1:8" ht="27" x14ac:dyDescent="0.35">
      <c r="A61" s="17" t="s">
        <v>2274</v>
      </c>
      <c r="B61" s="10" t="str">
        <f>VLOOKUP(A61,'ITEM LIST'!A:D,3,FALSE)</f>
        <v>STRAWBERRY FROZEN, 150G / PACK</v>
      </c>
      <c r="C61" s="10"/>
      <c r="D61" s="10"/>
      <c r="E61" s="18">
        <v>1</v>
      </c>
      <c r="F61" s="18" t="str">
        <f>VLOOKUP(A61,'ITEM LIST'!A:D,4,FALSE)</f>
        <v>PK</v>
      </c>
      <c r="G61" s="19">
        <v>35.58</v>
      </c>
      <c r="H61" s="20">
        <v>39.849599999999995</v>
      </c>
    </row>
    <row r="62" spans="1:8" ht="27" x14ac:dyDescent="0.35">
      <c r="A62" s="17" t="s">
        <v>2626</v>
      </c>
      <c r="B62" s="10" t="str">
        <f>VLOOKUP(A62,'ITEM LIST'!A:D,3,FALSE)</f>
        <v>MIDNIGHT DREAM CAKE, PC</v>
      </c>
      <c r="C62" s="10"/>
      <c r="D62" s="10"/>
      <c r="E62" s="18">
        <v>12</v>
      </c>
      <c r="F62" s="18" t="str">
        <f>VLOOKUP(A62,'ITEM LIST'!A:D,4,FALSE)</f>
        <v>PC</v>
      </c>
      <c r="G62" s="19">
        <v>5591.25</v>
      </c>
      <c r="H62" s="20">
        <v>6262.2</v>
      </c>
    </row>
    <row r="63" spans="1:8" ht="27" x14ac:dyDescent="0.35">
      <c r="A63" s="17" t="s">
        <v>3064</v>
      </c>
      <c r="B63" s="10" t="str">
        <f>VLOOKUP(A63,'ITEM LIST'!A:D,3,FALSE)</f>
        <v>MANGO CREAM PIE 4.5 KG</v>
      </c>
      <c r="C63" s="10"/>
      <c r="D63" s="10"/>
      <c r="E63" s="18">
        <v>0.56000000000000005</v>
      </c>
      <c r="F63" s="18" t="str">
        <f>VLOOKUP(A63,'ITEM LIST'!A:D,4,FALSE)</f>
        <v>TR</v>
      </c>
      <c r="G63" s="19">
        <v>1188</v>
      </c>
      <c r="H63" s="20">
        <v>1330.56</v>
      </c>
    </row>
    <row r="64" spans="1:8" ht="29.25" customHeight="1" x14ac:dyDescent="0.35">
      <c r="A64" s="17" t="s">
        <v>3583</v>
      </c>
      <c r="B64" s="10" t="str">
        <f>VLOOKUP(A64,'ITEM LIST'!A:D,3,FALSE)</f>
        <v>STRAWBERRY CAKE, PIECE</v>
      </c>
      <c r="C64" s="10"/>
      <c r="D64" s="10"/>
      <c r="E64" s="18">
        <v>3</v>
      </c>
      <c r="F64" s="18" t="str">
        <f>VLOOKUP(A64,'ITEM LIST'!A:D,4,FALSE)</f>
        <v>PC</v>
      </c>
      <c r="G64" s="19">
        <v>1830.9374999999995</v>
      </c>
      <c r="H64" s="20">
        <v>2050.6499999999996</v>
      </c>
    </row>
    <row r="65" spans="1:8" ht="27" x14ac:dyDescent="0.35">
      <c r="A65" s="17" t="s">
        <v>3915</v>
      </c>
      <c r="B65" s="10" t="str">
        <f>VLOOKUP(A65,'ITEM LIST'!A:D,3,FALSE)</f>
        <v>MINI MANGO MAGNIFICO, PC</v>
      </c>
      <c r="C65" s="10"/>
      <c r="D65" s="10"/>
      <c r="E65" s="18">
        <v>4</v>
      </c>
      <c r="F65" s="18" t="str">
        <f>VLOOKUP(A65,'ITEM LIST'!A:D,4,FALSE)</f>
        <v>PC</v>
      </c>
      <c r="G65" s="19">
        <v>1303.75</v>
      </c>
      <c r="H65" s="20">
        <v>1460.2</v>
      </c>
    </row>
    <row r="66" spans="1:8" ht="24.75" customHeight="1" x14ac:dyDescent="0.35">
      <c r="A66" s="17" t="s">
        <v>3591</v>
      </c>
      <c r="B66" s="10" t="str">
        <f>VLOOKUP(A66,'ITEM LIST'!A:D,3,FALSE)</f>
        <v>MIDNIGHT DREAM CAKE, WHOLE, MINI</v>
      </c>
      <c r="C66" s="10"/>
      <c r="D66" s="10"/>
      <c r="E66" s="18">
        <v>4</v>
      </c>
      <c r="F66" s="18" t="str">
        <f>VLOOKUP(A66,'ITEM LIST'!A:D,4,FALSE)</f>
        <v>PC</v>
      </c>
      <c r="G66" s="19">
        <v>1303.75</v>
      </c>
      <c r="H66" s="20">
        <v>1460.2</v>
      </c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97506.056407538461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10447.077472236268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87058.978935302192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87058.978935302192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10447.077472236268</v>
      </c>
      <c r="G83" s="38"/>
      <c r="H83" s="35">
        <f>F83</f>
        <v>10447.077472236268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870.58978935302196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96635.466618185441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A453-D72E-4845-8101-2C003B0F08DE}">
  <sheetPr>
    <pageSetUpPr fitToPage="1"/>
  </sheetPr>
  <dimension ref="A10:H86"/>
  <sheetViews>
    <sheetView view="pageBreakPreview" topLeftCell="A39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5279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3776</v>
      </c>
      <c r="B27" s="10" t="str">
        <f>VLOOKUP(A27,'ITEM LIST'!A:D,3,FALSE)</f>
        <v>STRAWBERRY, VACUUM PACKED, PK</v>
      </c>
      <c r="C27" s="10"/>
      <c r="D27" s="10"/>
      <c r="E27" s="18">
        <v>1</v>
      </c>
      <c r="F27" s="18" t="str">
        <f>VLOOKUP(A27,'ITEM LIST'!A:D,4,FALSE)</f>
        <v>PK</v>
      </c>
      <c r="G27" s="19">
        <v>317.32096764705875</v>
      </c>
      <c r="H27" s="20">
        <v>355.39948376470579</v>
      </c>
    </row>
    <row r="28" spans="1:8" ht="27" x14ac:dyDescent="0.35">
      <c r="A28" s="17" t="s">
        <v>2682</v>
      </c>
      <c r="B28" s="10" t="str">
        <f>VLOOKUP(A28,'ITEM LIST'!A:D,3,FALSE)</f>
        <v>SEA SALTED HONEY CRUNCH CAKE</v>
      </c>
      <c r="C28" s="10"/>
      <c r="D28" s="10"/>
      <c r="E28" s="18">
        <v>9</v>
      </c>
      <c r="F28" s="18" t="str">
        <f>VLOOKUP(A28,'ITEM LIST'!A:D,4,FALSE)</f>
        <v>PC</v>
      </c>
      <c r="G28" s="19">
        <v>3784.3749999999995</v>
      </c>
      <c r="H28" s="20">
        <v>4238.4999999999991</v>
      </c>
    </row>
    <row r="29" spans="1:8" ht="27" x14ac:dyDescent="0.35">
      <c r="A29" s="17" t="s">
        <v>2628</v>
      </c>
      <c r="B29" s="10" t="str">
        <f>VLOOKUP(A29,'ITEM LIST'!A:D,3,FALSE)</f>
        <v>CASHEW BRITTLE, 15G/PK, PK</v>
      </c>
      <c r="C29" s="10"/>
      <c r="D29" s="10"/>
      <c r="E29" s="18">
        <v>8</v>
      </c>
      <c r="F29" s="18" t="str">
        <f>VLOOKUP(A29,'ITEM LIST'!A:D,4,FALSE)</f>
        <v>PK</v>
      </c>
      <c r="G29" s="19">
        <v>63.104431034482751</v>
      </c>
      <c r="H29" s="20">
        <v>70.676962758620675</v>
      </c>
    </row>
    <row r="30" spans="1:8" ht="27" x14ac:dyDescent="0.35">
      <c r="A30" s="17" t="s">
        <v>3030</v>
      </c>
      <c r="B30" s="10" t="str">
        <f>VLOOKUP(A30,'ITEM LIST'!A:D,3,FALSE)</f>
        <v>OREO COOKIES N' CREAM, 4.5KG./TRAY</v>
      </c>
      <c r="C30" s="10"/>
      <c r="D30" s="10"/>
      <c r="E30" s="18">
        <v>10</v>
      </c>
      <c r="F30" s="18" t="str">
        <f>VLOOKUP(A30,'ITEM LIST'!A:D,4,FALSE)</f>
        <v>TR</v>
      </c>
      <c r="G30" s="19">
        <v>1323.0000000000002</v>
      </c>
      <c r="H30" s="20">
        <v>1481.7600000000002</v>
      </c>
    </row>
    <row r="31" spans="1:8" ht="27" x14ac:dyDescent="0.35">
      <c r="A31" s="17" t="s">
        <v>2224</v>
      </c>
      <c r="B31" s="10" t="str">
        <f>VLOOKUP(A31,'ITEM LIST'!A:D,3,FALSE)</f>
        <v>NEW MINT, 2.5KG/TRAY</v>
      </c>
      <c r="C31" s="10"/>
      <c r="D31" s="10"/>
      <c r="E31" s="18">
        <v>4</v>
      </c>
      <c r="F31" s="18" t="str">
        <f>VLOOKUP(A31,'ITEM LIST'!A:D,4,FALSE)</f>
        <v>TR</v>
      </c>
      <c r="G31" s="19">
        <v>1312.4999999999998</v>
      </c>
      <c r="H31" s="20">
        <v>1469.9999999999998</v>
      </c>
    </row>
    <row r="32" spans="1:8" ht="27" x14ac:dyDescent="0.35">
      <c r="A32" s="17" t="s">
        <v>2296</v>
      </c>
      <c r="B32" s="10" t="str">
        <f>VLOOKUP(A32,'ITEM LIST'!A:D,3,FALSE)</f>
        <v>BLANK HAPPY BIRTHDAY LABEL, 24PCS/BX</v>
      </c>
      <c r="C32" s="10"/>
      <c r="D32" s="10"/>
      <c r="E32" s="18">
        <v>10</v>
      </c>
      <c r="F32" s="18" t="str">
        <f>VLOOKUP(A32,'ITEM LIST'!A:D,4,FALSE)</f>
        <v>BX</v>
      </c>
      <c r="G32" s="19">
        <v>310.99226400000003</v>
      </c>
      <c r="H32" s="20">
        <v>348.31133568000001</v>
      </c>
    </row>
    <row r="33" spans="1:8" ht="27" x14ac:dyDescent="0.35">
      <c r="A33" s="17" t="s">
        <v>3772</v>
      </c>
      <c r="B33" s="10" t="str">
        <f>VLOOKUP(A33,'ITEM LIST'!A:D,3,FALSE)</f>
        <v>MINI UBE CAKE</v>
      </c>
      <c r="C33" s="10"/>
      <c r="D33" s="10"/>
      <c r="E33" s="18">
        <v>10</v>
      </c>
      <c r="F33" s="18" t="str">
        <f>VLOOKUP(A33,'ITEM LIST'!A:D,4,FALSE)</f>
        <v>PC</v>
      </c>
      <c r="G33" s="19">
        <v>1303.75</v>
      </c>
      <c r="H33" s="20">
        <v>1460.2</v>
      </c>
    </row>
    <row r="34" spans="1:8" ht="27" x14ac:dyDescent="0.35">
      <c r="A34" s="17" t="s">
        <v>3587</v>
      </c>
      <c r="B34" s="10" t="str">
        <f>VLOOKUP(A34,'ITEM LIST'!A:D,3,FALSE)</f>
        <v>CASHEW BRITTLE, 10 GRAMS PER PACK</v>
      </c>
      <c r="C34" s="10"/>
      <c r="D34" s="10"/>
      <c r="E34" s="18">
        <v>4</v>
      </c>
      <c r="F34" s="18" t="str">
        <f>VLOOKUP(A34,'ITEM LIST'!A:D,4,FALSE)</f>
        <v>PK</v>
      </c>
      <c r="G34" s="19">
        <v>14.023206896551724</v>
      </c>
      <c r="H34" s="20">
        <v>15.705991724137931</v>
      </c>
    </row>
    <row r="35" spans="1:8" ht="27" x14ac:dyDescent="0.35">
      <c r="A35" s="17" t="s">
        <v>3058</v>
      </c>
      <c r="B35" s="10" t="str">
        <f>VLOOKUP(A35,'ITEM LIST'!A:D,3,FALSE)</f>
        <v>SEA SALTED CRUNCH 140 GM</v>
      </c>
      <c r="C35" s="10"/>
      <c r="D35" s="10"/>
      <c r="E35" s="18">
        <v>22</v>
      </c>
      <c r="F35" s="18" t="str">
        <f>VLOOKUP(A35,'ITEM LIST'!A:D,4,FALSE)</f>
        <v>PK</v>
      </c>
      <c r="G35" s="19">
        <v>131.32999999999998</v>
      </c>
      <c r="H35" s="20">
        <v>147.08959999999999</v>
      </c>
    </row>
    <row r="36" spans="1:8" ht="27" x14ac:dyDescent="0.35">
      <c r="A36" s="17" t="s">
        <v>2234</v>
      </c>
      <c r="B36" s="10" t="str">
        <f>VLOOKUP(A36,'ITEM LIST'!A:D,3,FALSE)</f>
        <v>NEW PISTACHIO, 4.5KG/TRAY</v>
      </c>
      <c r="C36" s="10"/>
      <c r="D36" s="10"/>
      <c r="E36" s="18">
        <v>10</v>
      </c>
      <c r="F36" s="18" t="str">
        <f>VLOOKUP(A36,'ITEM LIST'!A:D,4,FALSE)</f>
        <v>TR</v>
      </c>
      <c r="G36" s="19">
        <v>1323.0000000000002</v>
      </c>
      <c r="H36" s="20">
        <v>1481.7600000000002</v>
      </c>
    </row>
    <row r="37" spans="1:8" ht="27" x14ac:dyDescent="0.35">
      <c r="A37" s="17" t="s">
        <v>2570</v>
      </c>
      <c r="B37" s="10" t="str">
        <f>VLOOKUP(A37,'ITEM LIST'!A:D,3,FALSE)</f>
        <v xml:space="preserve"> PISTACCHOCOLATO, CAKE MINI, PC </v>
      </c>
      <c r="C37" s="10"/>
      <c r="D37" s="10"/>
      <c r="E37" s="18">
        <v>12</v>
      </c>
      <c r="F37" s="18" t="str">
        <f>VLOOKUP(A37,'ITEM LIST'!A:D,4,FALSE)</f>
        <v>PC</v>
      </c>
      <c r="G37" s="19">
        <v>1391.25</v>
      </c>
      <c r="H37" s="20">
        <v>1558.2</v>
      </c>
    </row>
    <row r="38" spans="1:8" ht="27" x14ac:dyDescent="0.35">
      <c r="A38" s="17" t="s">
        <v>2574</v>
      </c>
      <c r="B38" s="10" t="str">
        <f>VLOOKUP(A38,'ITEM LIST'!A:D,3,FALSE)</f>
        <v>COOKIE DOUGH GELATO, 2.5/TRAY</v>
      </c>
      <c r="C38" s="10"/>
      <c r="D38" s="10"/>
      <c r="E38" s="18">
        <v>0.56000000000000005</v>
      </c>
      <c r="F38" s="18" t="str">
        <f>VLOOKUP(A38,'ITEM LIST'!A:D,4,FALSE)</f>
        <v>TR</v>
      </c>
      <c r="G38" s="19">
        <v>1312.5</v>
      </c>
      <c r="H38" s="20">
        <v>1470</v>
      </c>
    </row>
    <row r="39" spans="1:8" ht="27" x14ac:dyDescent="0.35">
      <c r="A39" s="17" t="s">
        <v>3020</v>
      </c>
      <c r="B39" s="10" t="str">
        <f>VLOOKUP(A39,'ITEM LIST'!A:D,3,FALSE)</f>
        <v>CHOCOLATE THERAPY GELATO, 4.5/TRAY</v>
      </c>
      <c r="C39" s="10"/>
      <c r="D39" s="10"/>
      <c r="E39" s="18">
        <v>12</v>
      </c>
      <c r="F39" s="18" t="str">
        <f>VLOOKUP(A39,'ITEM LIST'!A:D,4,FALSE)</f>
        <v>TR</v>
      </c>
      <c r="G39" s="19">
        <v>1323.0000000000002</v>
      </c>
      <c r="H39" s="20">
        <v>1481.7600000000002</v>
      </c>
    </row>
    <row r="40" spans="1:8" ht="27" x14ac:dyDescent="0.35">
      <c r="A40" s="17" t="s">
        <v>3014</v>
      </c>
      <c r="B40" s="10" t="str">
        <f>VLOOKUP(A40,'ITEM LIST'!A:D,3,FALSE)</f>
        <v>STRAWBERRY GELATO, 2.5 KG TRAY</v>
      </c>
      <c r="C40" s="10"/>
      <c r="D40" s="10"/>
      <c r="E40" s="18">
        <v>1</v>
      </c>
      <c r="F40" s="18" t="str">
        <f>VLOOKUP(A40,'ITEM LIST'!A:D,4,FALSE)</f>
        <v>TR</v>
      </c>
      <c r="G40" s="19">
        <v>2625</v>
      </c>
      <c r="H40" s="20">
        <v>2940</v>
      </c>
    </row>
    <row r="41" spans="1:8" ht="27" x14ac:dyDescent="0.35">
      <c r="A41" s="17" t="s">
        <v>2762</v>
      </c>
      <c r="B41" s="10" t="str">
        <f>VLOOKUP(A41,'ITEM LIST'!A:D,3,FALSE)</f>
        <v>TURTLE PIE, 2.5KG/TRAY</v>
      </c>
      <c r="C41" s="10"/>
      <c r="D41" s="10"/>
      <c r="E41" s="18">
        <v>0.56000000000000005</v>
      </c>
      <c r="F41" s="18" t="str">
        <f>VLOOKUP(A41,'ITEM LIST'!A:D,4,FALSE)</f>
        <v>TR</v>
      </c>
      <c r="G41" s="19">
        <v>1312.5</v>
      </c>
      <c r="H41" s="20">
        <v>1470</v>
      </c>
    </row>
    <row r="42" spans="1:8" ht="27" x14ac:dyDescent="0.35">
      <c r="A42" s="17" t="s">
        <v>3798</v>
      </c>
      <c r="B42" s="10" t="str">
        <f>VLOOKUP(A42,'ITEM LIST'!A:D,3,FALSE)</f>
        <v>MANGO MAGNIFICO CAKE, WHOLE, NEW DESIGN</v>
      </c>
      <c r="C42" s="10"/>
      <c r="D42" s="10"/>
      <c r="E42" s="18">
        <v>1</v>
      </c>
      <c r="F42" s="18" t="str">
        <f>VLOOKUP(A42,'ITEM LIST'!A:D,4,FALSE)</f>
        <v>PC</v>
      </c>
      <c r="G42" s="19">
        <v>5943.4374999999991</v>
      </c>
      <c r="H42" s="20">
        <v>6656.6499999999987</v>
      </c>
    </row>
    <row r="43" spans="1:8" ht="27" x14ac:dyDescent="0.35">
      <c r="A43" s="17" t="s">
        <v>3702</v>
      </c>
      <c r="B43" s="10" t="str">
        <f>VLOOKUP(A43,'ITEM LIST'!A:D,3,FALSE)</f>
        <v>UBE CAKE, PC</v>
      </c>
      <c r="C43" s="10"/>
      <c r="D43" s="10"/>
      <c r="E43" s="18">
        <v>0.56000000000000005</v>
      </c>
      <c r="F43" s="18" t="str">
        <f>VLOOKUP(A43,'ITEM LIST'!A:D,4,FALSE)</f>
        <v>PC</v>
      </c>
      <c r="G43" s="19">
        <v>10058.124999999998</v>
      </c>
      <c r="H43" s="20">
        <v>11265.099999999999</v>
      </c>
    </row>
    <row r="44" spans="1:8" ht="27" x14ac:dyDescent="0.35">
      <c r="A44" s="17" t="s">
        <v>2222</v>
      </c>
      <c r="B44" s="10" t="str">
        <f>VLOOKUP(A44,'ITEM LIST'!A:D,3,FALSE)</f>
        <v>NEW FERRERO, 2.5KG/TRAY</v>
      </c>
      <c r="C44" s="10"/>
      <c r="D44" s="10"/>
      <c r="E44" s="18">
        <v>10</v>
      </c>
      <c r="F44" s="18" t="str">
        <f>VLOOKUP(A44,'ITEM LIST'!A:D,4,FALSE)</f>
        <v>TR</v>
      </c>
      <c r="G44" s="19">
        <v>1312.4999999999998</v>
      </c>
      <c r="H44" s="20">
        <v>1469.9999999999998</v>
      </c>
    </row>
    <row r="45" spans="1:8" ht="27" x14ac:dyDescent="0.35">
      <c r="A45" s="17" t="s">
        <v>4021</v>
      </c>
      <c r="B45" s="10" t="str">
        <f>VLOOKUP(A45,'ITEM LIST'!A:D,3,FALSE)</f>
        <v>CHOCOLATE JAVA CAKE, PC</v>
      </c>
      <c r="C45" s="10"/>
      <c r="D45" s="10"/>
      <c r="E45" s="18">
        <v>5</v>
      </c>
      <c r="F45" s="18" t="str">
        <f>VLOOKUP(A45,'ITEM LIST'!A:D,4,FALSE)</f>
        <v>PC</v>
      </c>
      <c r="G45" s="19">
        <v>5659.0624999999991</v>
      </c>
      <c r="H45" s="20">
        <v>6338.1499999999987</v>
      </c>
    </row>
    <row r="46" spans="1:8" ht="27" x14ac:dyDescent="0.35">
      <c r="A46" s="17" t="s">
        <v>4019</v>
      </c>
      <c r="B46" s="10" t="str">
        <f>VLOOKUP(A46,'ITEM LIST'!A:D,3,FALSE)</f>
        <v>COFFEE CRUNCH,  70 G/PK, PK</v>
      </c>
      <c r="C46" s="10"/>
      <c r="D46" s="10"/>
      <c r="E46" s="18">
        <v>3</v>
      </c>
      <c r="F46" s="18" t="str">
        <f>VLOOKUP(A46,'ITEM LIST'!A:D,4,FALSE)</f>
        <v>PK</v>
      </c>
      <c r="G46" s="19">
        <v>119</v>
      </c>
      <c r="H46" s="20">
        <v>133.28</v>
      </c>
    </row>
    <row r="47" spans="1:8" ht="27" x14ac:dyDescent="0.35">
      <c r="A47" s="17" t="s">
        <v>3939</v>
      </c>
      <c r="B47" s="10" t="str">
        <f>VLOOKUP(A47,'ITEM LIST'!A:D,3,FALSE)</f>
        <v>SALTED CHOCOLATE SMORES CAKE, NEW, PC</v>
      </c>
      <c r="C47" s="10"/>
      <c r="D47" s="10"/>
      <c r="E47" s="18">
        <v>3</v>
      </c>
      <c r="F47" s="18" t="str">
        <f>VLOOKUP(A47,'ITEM LIST'!A:D,4,FALSE)</f>
        <v>PC</v>
      </c>
      <c r="G47" s="19">
        <v>4571.8749999999991</v>
      </c>
      <c r="H47" s="20">
        <v>5120.4999999999991</v>
      </c>
    </row>
    <row r="48" spans="1:8" ht="27" x14ac:dyDescent="0.35">
      <c r="A48" s="17" t="s">
        <v>3915</v>
      </c>
      <c r="B48" s="10" t="str">
        <f>VLOOKUP(A48,'ITEM LIST'!A:D,3,FALSE)</f>
        <v>MINI MANGO MAGNIFICO, PC</v>
      </c>
      <c r="C48" s="10"/>
      <c r="D48" s="10"/>
      <c r="E48" s="18">
        <v>12</v>
      </c>
      <c r="F48" s="18" t="str">
        <f>VLOOKUP(A48,'ITEM LIST'!A:D,4,FALSE)</f>
        <v>PC</v>
      </c>
      <c r="G48" s="19">
        <v>1303.75</v>
      </c>
      <c r="H48" s="20">
        <v>1460.2</v>
      </c>
    </row>
    <row r="49" spans="1:8" ht="27" x14ac:dyDescent="0.35">
      <c r="A49" s="17" t="s">
        <v>3702</v>
      </c>
      <c r="B49" s="10" t="str">
        <f>VLOOKUP(A49,'ITEM LIST'!A:D,3,FALSE)</f>
        <v>UBE CAKE, PC</v>
      </c>
      <c r="C49" s="10"/>
      <c r="D49" s="10"/>
      <c r="E49" s="18">
        <v>1</v>
      </c>
      <c r="F49" s="18" t="str">
        <f>VLOOKUP(A49,'ITEM LIST'!A:D,4,FALSE)</f>
        <v>PC</v>
      </c>
      <c r="G49" s="19">
        <v>9143.7499999999982</v>
      </c>
      <c r="H49" s="20">
        <v>10240.999999999998</v>
      </c>
    </row>
    <row r="50" spans="1:8" ht="27" x14ac:dyDescent="0.35">
      <c r="A50" s="17" t="s">
        <v>3591</v>
      </c>
      <c r="B50" s="10" t="str">
        <f>VLOOKUP(A50,'ITEM LIST'!A:D,3,FALSE)</f>
        <v>MIDNIGHT DREAM CAKE, WHOLE, MINI</v>
      </c>
      <c r="C50" s="10"/>
      <c r="D50" s="10"/>
      <c r="E50" s="18">
        <v>1</v>
      </c>
      <c r="F50" s="18" t="str">
        <f>VLOOKUP(A50,'ITEM LIST'!A:D,4,FALSE)</f>
        <v>PC</v>
      </c>
      <c r="G50" s="19">
        <v>1303.75</v>
      </c>
      <c r="H50" s="20">
        <v>1460.2</v>
      </c>
    </row>
    <row r="51" spans="1:8" ht="27" x14ac:dyDescent="0.35">
      <c r="A51" s="17" t="s">
        <v>2682</v>
      </c>
      <c r="B51" s="10" t="str">
        <f>VLOOKUP(A51,'ITEM LIST'!A:D,3,FALSE)</f>
        <v>SEA SALTED HONEY CRUNCH CAKE</v>
      </c>
      <c r="C51" s="10"/>
      <c r="D51" s="10"/>
      <c r="E51" s="18">
        <v>1</v>
      </c>
      <c r="F51" s="18" t="str">
        <f>VLOOKUP(A51,'ITEM LIST'!A:D,4,FALSE)</f>
        <v>PC</v>
      </c>
      <c r="G51" s="19">
        <v>3784.3749999999995</v>
      </c>
      <c r="H51" s="20">
        <v>4238.4999999999991</v>
      </c>
    </row>
    <row r="52" spans="1:8" ht="27" x14ac:dyDescent="0.35">
      <c r="A52" s="17" t="s">
        <v>3058</v>
      </c>
      <c r="B52" s="10" t="str">
        <f>VLOOKUP(A52,'ITEM LIST'!A:D,3,FALSE)</f>
        <v>SEA SALTED CRUNCH 140 GM</v>
      </c>
      <c r="C52" s="10"/>
      <c r="D52" s="10"/>
      <c r="E52" s="18">
        <v>10</v>
      </c>
      <c r="F52" s="18" t="str">
        <f>VLOOKUP(A52,'ITEM LIST'!A:D,4,FALSE)</f>
        <v>PK</v>
      </c>
      <c r="G52" s="19">
        <v>131.32999999999998</v>
      </c>
      <c r="H52" s="20">
        <v>147.08959999999999</v>
      </c>
    </row>
    <row r="53" spans="1:8" ht="27" x14ac:dyDescent="0.35">
      <c r="A53" s="17" t="s">
        <v>3030</v>
      </c>
      <c r="B53" s="10" t="str">
        <f>VLOOKUP(A53,'ITEM LIST'!A:D,3,FALSE)</f>
        <v>OREO COOKIES N' CREAM, 4.5KG./TRAY</v>
      </c>
      <c r="C53" s="10"/>
      <c r="D53" s="10"/>
      <c r="E53" s="18">
        <v>10</v>
      </c>
      <c r="F53" s="18" t="str">
        <f>VLOOKUP(A53,'ITEM LIST'!A:D,4,FALSE)</f>
        <v>TR</v>
      </c>
      <c r="G53" s="19">
        <v>1323.0000000000002</v>
      </c>
      <c r="H53" s="20">
        <v>1481.7600000000002</v>
      </c>
    </row>
    <row r="54" spans="1:8" ht="27" x14ac:dyDescent="0.35">
      <c r="A54" s="17" t="s">
        <v>2888</v>
      </c>
      <c r="B54" s="10" t="str">
        <f>VLOOKUP(A54,'ITEM LIST'!A:D,3,FALSE)</f>
        <v>MINT WITH CHOCOLATE, 5KG./TRAY</v>
      </c>
      <c r="C54" s="10"/>
      <c r="D54" s="10"/>
      <c r="E54" s="18">
        <v>1</v>
      </c>
      <c r="F54" s="18" t="str">
        <f>VLOOKUP(A54,'ITEM LIST'!A:D,4,FALSE)</f>
        <v>TR</v>
      </c>
      <c r="G54" s="19">
        <v>2625</v>
      </c>
      <c r="H54" s="20">
        <v>2940</v>
      </c>
    </row>
    <row r="55" spans="1:8" ht="27" x14ac:dyDescent="0.35">
      <c r="A55" s="17" t="s">
        <v>4021</v>
      </c>
      <c r="B55" s="10" t="str">
        <f>VLOOKUP(A55,'ITEM LIST'!A:D,3,FALSE)</f>
        <v>CHOCOLATE JAVA CAKE, PC</v>
      </c>
      <c r="C55" s="10"/>
      <c r="D55" s="10"/>
      <c r="E55" s="18">
        <v>4</v>
      </c>
      <c r="F55" s="18" t="str">
        <f>VLOOKUP(A55,'ITEM LIST'!A:D,4,FALSE)</f>
        <v>PC</v>
      </c>
      <c r="G55" s="19">
        <v>4353.1249999999991</v>
      </c>
      <c r="H55" s="20">
        <v>4875.4999999999991</v>
      </c>
    </row>
    <row r="56" spans="1:8" ht="27" x14ac:dyDescent="0.35">
      <c r="A56" s="17" t="s">
        <v>2626</v>
      </c>
      <c r="B56" s="10" t="str">
        <f>VLOOKUP(A56,'ITEM LIST'!A:D,3,FALSE)</f>
        <v>MIDNIGHT DREAM CAKE, PC</v>
      </c>
      <c r="C56" s="10"/>
      <c r="D56" s="10"/>
      <c r="E56" s="18">
        <v>5</v>
      </c>
      <c r="F56" s="18" t="str">
        <f>VLOOKUP(A56,'ITEM LIST'!A:D,4,FALSE)</f>
        <v>PC</v>
      </c>
      <c r="G56" s="19">
        <v>5591.25</v>
      </c>
      <c r="H56" s="20">
        <v>6262.2</v>
      </c>
    </row>
    <row r="57" spans="1:8" ht="27" x14ac:dyDescent="0.35">
      <c r="A57" s="17" t="s">
        <v>2570</v>
      </c>
      <c r="B57" s="10" t="str">
        <f>VLOOKUP(A57,'ITEM LIST'!A:D,3,FALSE)</f>
        <v xml:space="preserve"> PISTACCHOCOLATO, CAKE MINI, PC </v>
      </c>
      <c r="C57" s="10"/>
      <c r="D57" s="10"/>
      <c r="E57" s="18">
        <v>4</v>
      </c>
      <c r="F57" s="18" t="str">
        <f>VLOOKUP(A57,'ITEM LIST'!A:D,4,FALSE)</f>
        <v>PC</v>
      </c>
      <c r="G57" s="19">
        <v>1391.25</v>
      </c>
      <c r="H57" s="20">
        <v>1558.2</v>
      </c>
    </row>
    <row r="58" spans="1:8" ht="27" x14ac:dyDescent="0.35">
      <c r="A58" s="17" t="s">
        <v>3615</v>
      </c>
      <c r="B58" s="10" t="str">
        <f>VLOOKUP(A58,'ITEM LIST'!A:D,3,FALSE)</f>
        <v>COFFEE MUDSLIDE GELATO, 2.5KGS./TRAY</v>
      </c>
      <c r="C58" s="10"/>
      <c r="D58" s="10"/>
      <c r="E58" s="18">
        <v>12</v>
      </c>
      <c r="F58" s="18" t="str">
        <f>VLOOKUP(A58,'ITEM LIST'!A:D,4,FALSE)</f>
        <v>TR</v>
      </c>
      <c r="G58" s="19">
        <v>1312.5</v>
      </c>
      <c r="H58" s="20">
        <v>1470</v>
      </c>
    </row>
    <row r="59" spans="1:8" ht="27" x14ac:dyDescent="0.35">
      <c r="A59" s="17" t="s">
        <v>2234</v>
      </c>
      <c r="B59" s="10" t="str">
        <f>VLOOKUP(A59,'ITEM LIST'!A:D,3,FALSE)</f>
        <v>NEW PISTACHIO, 4.5KG/TRAY</v>
      </c>
      <c r="C59" s="10"/>
      <c r="D59" s="10"/>
      <c r="E59" s="18">
        <v>13</v>
      </c>
      <c r="F59" s="18" t="str">
        <f>VLOOKUP(A59,'ITEM LIST'!A:D,4,FALSE)</f>
        <v>TR</v>
      </c>
      <c r="G59" s="19">
        <v>1323.0000000000002</v>
      </c>
      <c r="H59" s="20">
        <v>1481.7600000000002</v>
      </c>
    </row>
    <row r="60" spans="1:8" ht="27" x14ac:dyDescent="0.35">
      <c r="A60" s="17" t="s">
        <v>2224</v>
      </c>
      <c r="B60" s="10" t="str">
        <f>VLOOKUP(A60,'ITEM LIST'!A:D,3,FALSE)</f>
        <v>NEW MINT, 2.5KG/TRAY</v>
      </c>
      <c r="C60" s="10"/>
      <c r="D60" s="10"/>
      <c r="E60" s="18">
        <v>9</v>
      </c>
      <c r="F60" s="18" t="str">
        <f>VLOOKUP(A60,'ITEM LIST'!A:D,4,FALSE)</f>
        <v>TR</v>
      </c>
      <c r="G60" s="19">
        <v>1312.4999999999998</v>
      </c>
      <c r="H60" s="20">
        <v>1469.9999999999998</v>
      </c>
    </row>
    <row r="61" spans="1:8" ht="27" x14ac:dyDescent="0.35">
      <c r="A61" s="17" t="s">
        <v>2222</v>
      </c>
      <c r="B61" s="10" t="str">
        <f>VLOOKUP(A61,'ITEM LIST'!A:D,3,FALSE)</f>
        <v>NEW FERRERO, 2.5KG/TRAY</v>
      </c>
      <c r="C61" s="10"/>
      <c r="D61" s="10"/>
      <c r="E61" s="18">
        <v>1</v>
      </c>
      <c r="F61" s="18" t="str">
        <f>VLOOKUP(A61,'ITEM LIST'!A:D,4,FALSE)</f>
        <v>TR</v>
      </c>
      <c r="G61" s="19">
        <v>1312.4999999999998</v>
      </c>
      <c r="H61" s="20">
        <v>1469.9999999999998</v>
      </c>
    </row>
    <row r="62" spans="1:8" ht="27" x14ac:dyDescent="0.35">
      <c r="A62" s="17" t="s">
        <v>2762</v>
      </c>
      <c r="B62" s="10" t="str">
        <f>VLOOKUP(A62,'ITEM LIST'!A:D,3,FALSE)</f>
        <v>TURTLE PIE, 2.5KG/TRAY</v>
      </c>
      <c r="C62" s="10"/>
      <c r="D62" s="10"/>
      <c r="E62" s="18">
        <v>12</v>
      </c>
      <c r="F62" s="18" t="str">
        <f>VLOOKUP(A62,'ITEM LIST'!A:D,4,FALSE)</f>
        <v>TR</v>
      </c>
      <c r="G62" s="19">
        <v>1312.5</v>
      </c>
      <c r="H62" s="20">
        <v>1470</v>
      </c>
    </row>
    <row r="63" spans="1:8" ht="27" x14ac:dyDescent="0.35">
      <c r="A63" s="17" t="s">
        <v>3798</v>
      </c>
      <c r="B63" s="10" t="str">
        <f>VLOOKUP(A63,'ITEM LIST'!A:D,3,FALSE)</f>
        <v>MANGO MAGNIFICO CAKE, WHOLE, NEW DESIGN</v>
      </c>
      <c r="C63" s="10"/>
      <c r="D63" s="10"/>
      <c r="E63" s="18">
        <v>0.56000000000000005</v>
      </c>
      <c r="F63" s="18" t="str">
        <f>VLOOKUP(A63,'ITEM LIST'!A:D,4,FALSE)</f>
        <v>PC</v>
      </c>
      <c r="G63" s="19">
        <v>4114.6874999999991</v>
      </c>
      <c r="H63" s="20">
        <v>4608.4499999999989</v>
      </c>
    </row>
    <row r="64" spans="1:8" ht="29.25" customHeight="1" x14ac:dyDescent="0.35">
      <c r="A64" s="17" t="s">
        <v>3772</v>
      </c>
      <c r="B64" s="10" t="str">
        <f>VLOOKUP(A64,'ITEM LIST'!A:D,3,FALSE)</f>
        <v>MINI UBE CAKE</v>
      </c>
      <c r="C64" s="10"/>
      <c r="D64" s="10"/>
      <c r="E64" s="18">
        <v>3</v>
      </c>
      <c r="F64" s="18" t="str">
        <f>VLOOKUP(A64,'ITEM LIST'!A:D,4,FALSE)</f>
        <v>PC</v>
      </c>
      <c r="G64" s="19">
        <v>1303.75</v>
      </c>
      <c r="H64" s="20">
        <v>1460.2</v>
      </c>
    </row>
    <row r="65" spans="1:8" ht="27" x14ac:dyDescent="0.35">
      <c r="A65" s="17" t="s">
        <v>3587</v>
      </c>
      <c r="B65" s="10" t="str">
        <f>VLOOKUP(A65,'ITEM LIST'!A:D,3,FALSE)</f>
        <v>CASHEW BRITTLE, 10 GRAMS PER PACK</v>
      </c>
      <c r="C65" s="10"/>
      <c r="D65" s="10"/>
      <c r="E65" s="18">
        <v>4</v>
      </c>
      <c r="F65" s="18" t="str">
        <f>VLOOKUP(A65,'ITEM LIST'!A:D,4,FALSE)</f>
        <v>PK</v>
      </c>
      <c r="G65" s="19">
        <v>14.023206896551724</v>
      </c>
      <c r="H65" s="20">
        <v>15.705991724137931</v>
      </c>
    </row>
    <row r="66" spans="1:8" ht="24.75" customHeight="1" x14ac:dyDescent="0.35">
      <c r="A66" s="17" t="s">
        <v>3583</v>
      </c>
      <c r="B66" s="10" t="str">
        <f>VLOOKUP(A66,'ITEM LIST'!A:D,3,FALSE)</f>
        <v>STRAWBERRY CAKE, PIECE</v>
      </c>
      <c r="C66" s="10"/>
      <c r="D66" s="10"/>
      <c r="E66" s="18">
        <v>4</v>
      </c>
      <c r="F66" s="18" t="str">
        <f>VLOOKUP(A66,'ITEM LIST'!A:D,4,FALSE)</f>
        <v>PC</v>
      </c>
      <c r="G66" s="19">
        <v>2441.2499999999995</v>
      </c>
      <c r="H66" s="20">
        <v>2734.1999999999994</v>
      </c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101818.00896565158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6"/>
      <c r="G77" s="55"/>
      <c r="H77" s="47">
        <v>10909.072389176959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90908.936576474618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90908.936576474618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10909.072389176959</v>
      </c>
      <c r="G83" s="38"/>
      <c r="H83" s="35">
        <f>F83</f>
        <v>10909.072389176959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909.08936576474616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100908.91959988684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DE46-6940-45F0-ABEF-99E265B594EA}">
  <sheetPr>
    <pageSetUpPr fitToPage="1"/>
  </sheetPr>
  <dimension ref="A10:H86"/>
  <sheetViews>
    <sheetView view="pageBreakPreview" topLeftCell="A4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5280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3776</v>
      </c>
      <c r="B27" s="10" t="str">
        <f>VLOOKUP(A27,'ITEM LIST'!A:D,3,FALSE)</f>
        <v>STRAWBERRY, VACUUM PACKED, PK</v>
      </c>
      <c r="C27" s="10"/>
      <c r="D27" s="10"/>
      <c r="E27" s="18">
        <v>4</v>
      </c>
      <c r="F27" s="18" t="str">
        <f>VLOOKUP(A27,'ITEM LIST'!A:D,4,FALSE)</f>
        <v>PK</v>
      </c>
      <c r="G27" s="19">
        <v>423.09462352941171</v>
      </c>
      <c r="H27" s="20">
        <v>473.86597835294111</v>
      </c>
    </row>
    <row r="28" spans="1:8" ht="27" x14ac:dyDescent="0.35">
      <c r="A28" s="17" t="s">
        <v>2628</v>
      </c>
      <c r="B28" s="10" t="str">
        <f>VLOOKUP(A28,'ITEM LIST'!A:D,3,FALSE)</f>
        <v>CASHEW BRITTLE, 15G/PK, PK</v>
      </c>
      <c r="C28" s="10"/>
      <c r="D28" s="10"/>
      <c r="E28" s="18">
        <v>12</v>
      </c>
      <c r="F28" s="18" t="str">
        <f>VLOOKUP(A28,'ITEM LIST'!A:D,4,FALSE)</f>
        <v>PK</v>
      </c>
      <c r="G28" s="19">
        <v>63.104431034482751</v>
      </c>
      <c r="H28" s="20">
        <v>70.676962758620675</v>
      </c>
    </row>
    <row r="29" spans="1:8" ht="27" x14ac:dyDescent="0.35">
      <c r="A29" s="17" t="s">
        <v>2460</v>
      </c>
      <c r="B29" s="10" t="str">
        <f>VLOOKUP(A29,'ITEM LIST'!A:D,3,FALSE)</f>
        <v>PISTACCHOCOLATO, WHOLE</v>
      </c>
      <c r="C29" s="10"/>
      <c r="D29" s="10"/>
      <c r="E29" s="18">
        <v>10</v>
      </c>
      <c r="F29" s="18" t="str">
        <f>VLOOKUP(A29,'ITEM LIST'!A:D,4,FALSE)</f>
        <v>PC</v>
      </c>
      <c r="G29" s="19">
        <v>4790.6249999999991</v>
      </c>
      <c r="H29" s="20">
        <v>5365.4999999999991</v>
      </c>
    </row>
    <row r="30" spans="1:8" ht="27" x14ac:dyDescent="0.35">
      <c r="A30" s="17" t="s">
        <v>3020</v>
      </c>
      <c r="B30" s="10" t="str">
        <f>VLOOKUP(A30,'ITEM LIST'!A:D,3,FALSE)</f>
        <v>CHOCOLATE THERAPY GELATO, 4.5/TRAY</v>
      </c>
      <c r="C30" s="10"/>
      <c r="D30" s="10"/>
      <c r="E30" s="18">
        <v>1</v>
      </c>
      <c r="F30" s="18" t="str">
        <f>VLOOKUP(A30,'ITEM LIST'!A:D,4,FALSE)</f>
        <v>TR</v>
      </c>
      <c r="G30" s="19">
        <v>2362.5</v>
      </c>
      <c r="H30" s="20">
        <v>2646</v>
      </c>
    </row>
    <row r="31" spans="1:8" ht="27" x14ac:dyDescent="0.35">
      <c r="A31" s="17" t="s">
        <v>3014</v>
      </c>
      <c r="B31" s="10" t="str">
        <f>VLOOKUP(A31,'ITEM LIST'!A:D,3,FALSE)</f>
        <v>STRAWBERRY GELATO, 2.5 KG TRAY</v>
      </c>
      <c r="C31" s="10"/>
      <c r="D31" s="10"/>
      <c r="E31" s="18">
        <v>1</v>
      </c>
      <c r="F31" s="18" t="str">
        <f>VLOOKUP(A31,'ITEM LIST'!A:D,4,FALSE)</f>
        <v>TR</v>
      </c>
      <c r="G31" s="19">
        <v>1312.5</v>
      </c>
      <c r="H31" s="20">
        <v>1470</v>
      </c>
    </row>
    <row r="32" spans="1:8" ht="27" x14ac:dyDescent="0.35">
      <c r="A32" s="17" t="s">
        <v>2574</v>
      </c>
      <c r="B32" s="10" t="str">
        <f>VLOOKUP(A32,'ITEM LIST'!A:D,3,FALSE)</f>
        <v>COOKIE DOUGH GELATO, 2.5/TRAY</v>
      </c>
      <c r="C32" s="10"/>
      <c r="D32" s="10"/>
      <c r="E32" s="18">
        <v>1</v>
      </c>
      <c r="F32" s="18" t="str">
        <f>VLOOKUP(A32,'ITEM LIST'!A:D,4,FALSE)</f>
        <v>TR</v>
      </c>
      <c r="G32" s="19">
        <v>1312.5</v>
      </c>
      <c r="H32" s="20">
        <v>1470</v>
      </c>
    </row>
    <row r="33" spans="1:8" ht="27" x14ac:dyDescent="0.35">
      <c r="A33" s="17" t="s">
        <v>3780</v>
      </c>
      <c r="B33" s="10" t="str">
        <f>VLOOKUP(A33,'ITEM LIST'!A:D,3,FALSE)</f>
        <v>RED GLAZE, 100G/PK</v>
      </c>
      <c r="C33" s="10"/>
      <c r="D33" s="10"/>
      <c r="E33" s="18">
        <v>1</v>
      </c>
      <c r="F33" s="18" t="str">
        <f>VLOOKUP(A33,'ITEM LIST'!A:D,4,FALSE)</f>
        <v>PK</v>
      </c>
      <c r="G33" s="19">
        <v>23.470076838733426</v>
      </c>
      <c r="H33" s="20">
        <v>26.286486059381438</v>
      </c>
    </row>
    <row r="34" spans="1:8" ht="27" x14ac:dyDescent="0.35">
      <c r="A34" s="17" t="s">
        <v>2296</v>
      </c>
      <c r="B34" s="10" t="str">
        <f>VLOOKUP(A34,'ITEM LIST'!A:D,3,FALSE)</f>
        <v>BLANK HAPPY BIRTHDAY LABEL, 24PCS/BX</v>
      </c>
      <c r="C34" s="10"/>
      <c r="D34" s="10"/>
      <c r="E34" s="18">
        <v>2</v>
      </c>
      <c r="F34" s="18" t="str">
        <f>VLOOKUP(A34,'ITEM LIST'!A:D,4,FALSE)</f>
        <v>BX</v>
      </c>
      <c r="G34" s="19">
        <v>310.99226400000003</v>
      </c>
      <c r="H34" s="20">
        <v>348.31133568000001</v>
      </c>
    </row>
    <row r="35" spans="1:8" ht="27" x14ac:dyDescent="0.35">
      <c r="A35" s="17" t="s">
        <v>2274</v>
      </c>
      <c r="B35" s="10" t="str">
        <f>VLOOKUP(A35,'ITEM LIST'!A:D,3,FALSE)</f>
        <v>STRAWBERRY FROZEN, 150G / PACK</v>
      </c>
      <c r="C35" s="10"/>
      <c r="D35" s="10"/>
      <c r="E35" s="18">
        <v>1</v>
      </c>
      <c r="F35" s="18" t="str">
        <f>VLOOKUP(A35,'ITEM LIST'!A:D,4,FALSE)</f>
        <v>PK</v>
      </c>
      <c r="G35" s="19">
        <v>35.58</v>
      </c>
      <c r="H35" s="20">
        <v>39.849599999999995</v>
      </c>
    </row>
    <row r="36" spans="1:8" ht="27" x14ac:dyDescent="0.35">
      <c r="A36" s="17" t="s">
        <v>21</v>
      </c>
      <c r="B36" s="10" t="str">
        <f>VLOOKUP(A36,'ITEM LIST'!A:D,3,FALSE)</f>
        <v>CLING WRAP, 30 METERS PER ROLL</v>
      </c>
      <c r="C36" s="10"/>
      <c r="D36" s="10"/>
      <c r="E36" s="18">
        <v>2</v>
      </c>
      <c r="F36" s="18" t="str">
        <f>VLOOKUP(A36,'ITEM LIST'!A:D,4,FALSE)</f>
        <v>RL</v>
      </c>
      <c r="G36" s="19">
        <v>492.86699999999996</v>
      </c>
      <c r="H36" s="20">
        <v>552.01103999999998</v>
      </c>
    </row>
    <row r="37" spans="1:8" ht="27" x14ac:dyDescent="0.35">
      <c r="A37" s="17" t="s">
        <v>27</v>
      </c>
      <c r="B37" s="10" t="str">
        <f>VLOOKUP(A37,'ITEM LIST'!A:D,3,FALSE)</f>
        <v>DISPOSABLE, PLASTIC GLOVES, LARGE, 100 PCS XPACK</v>
      </c>
      <c r="C37" s="10"/>
      <c r="D37" s="10"/>
      <c r="E37" s="18">
        <v>5</v>
      </c>
      <c r="F37" s="18" t="str">
        <f>VLOOKUP(A37,'ITEM LIST'!A:D,4,FALSE)</f>
        <v>PK</v>
      </c>
      <c r="G37" s="19">
        <v>256.68</v>
      </c>
      <c r="H37" s="20">
        <v>287.48160000000001</v>
      </c>
    </row>
    <row r="38" spans="1:8" ht="27" x14ac:dyDescent="0.35">
      <c r="A38" s="17" t="s">
        <v>61</v>
      </c>
      <c r="B38" s="10" t="str">
        <f>VLOOKUP(A38,'ITEM LIST'!A:D,3,FALSE)</f>
        <v>CLEANING, YELLOW SCRUB SPONGE, 2 in 1, 3in x 3.75in</v>
      </c>
      <c r="C38" s="10"/>
      <c r="D38" s="10"/>
      <c r="E38" s="18">
        <v>2</v>
      </c>
      <c r="F38" s="18" t="str">
        <f>VLOOKUP(A38,'ITEM LIST'!A:D,4,FALSE)</f>
        <v>PC</v>
      </c>
      <c r="G38" s="19">
        <v>65.986999999999995</v>
      </c>
      <c r="H38" s="20">
        <v>73.905439999999999</v>
      </c>
    </row>
    <row r="39" spans="1:8" ht="27" x14ac:dyDescent="0.35">
      <c r="A39" s="17" t="s">
        <v>800</v>
      </c>
      <c r="B39" s="10" t="str">
        <f>VLOOKUP(A39,'ITEM LIST'!A:D,3,FALSE)</f>
        <v>PAPER, BAG, KRAFT#3, CARAMIA, 80GSM</v>
      </c>
      <c r="C39" s="10"/>
      <c r="D39" s="10"/>
      <c r="E39" s="18">
        <v>50</v>
      </c>
      <c r="F39" s="18" t="str">
        <f>VLOOKUP(A39,'ITEM LIST'!A:D,4,FALSE)</f>
        <v>PC</v>
      </c>
      <c r="G39" s="19">
        <v>280.02499999999998</v>
      </c>
      <c r="H39" s="20">
        <v>313.62799999999999</v>
      </c>
    </row>
    <row r="40" spans="1:8" ht="27" x14ac:dyDescent="0.35">
      <c r="A40" s="17" t="s">
        <v>722</v>
      </c>
      <c r="B40" s="10" t="str">
        <f>VLOOKUP(A40,'ITEM LIST'!A:D,3,FALSE)</f>
        <v>RIBBON,YELLOW,#5 CUT EDGE RIBBON, 50YARDS/RL, RL</v>
      </c>
      <c r="C40" s="10"/>
      <c r="D40" s="10"/>
      <c r="E40" s="18">
        <v>30</v>
      </c>
      <c r="F40" s="18" t="str">
        <f>VLOOKUP(A40,'ITEM LIST'!A:D,4,FALSE)</f>
        <v>RL</v>
      </c>
      <c r="G40" s="19">
        <v>1909.9199999999998</v>
      </c>
      <c r="H40" s="20">
        <v>2139.1104</v>
      </c>
    </row>
    <row r="41" spans="1:8" ht="27" x14ac:dyDescent="0.35">
      <c r="A41" s="17" t="s">
        <v>891</v>
      </c>
      <c r="B41" s="10" t="str">
        <f>VLOOKUP(A41,'ITEM LIST'!A:D,3,FALSE)</f>
        <v>BIRTHDAY CANDLE, SMALL-PINK, 24PCSX24PKSX1BX, PC</v>
      </c>
      <c r="C41" s="10"/>
      <c r="D41" s="10"/>
      <c r="E41" s="18">
        <v>48</v>
      </c>
      <c r="F41" s="18" t="str">
        <f>VLOOKUP(A41,'ITEM LIST'!A:D,4,FALSE)</f>
        <v>PC</v>
      </c>
      <c r="G41" s="19">
        <v>689.99999999999989</v>
      </c>
      <c r="H41" s="20">
        <v>772.79999999999984</v>
      </c>
    </row>
    <row r="42" spans="1:8" ht="27" x14ac:dyDescent="0.35">
      <c r="A42" s="17" t="s">
        <v>113</v>
      </c>
      <c r="B42" s="10" t="str">
        <f>VLOOKUP(A42,'ITEM LIST'!A:D,3,FALSE)</f>
        <v>GARBAGE BAG 22 X 24 INCHES, CLEAR,P.E,100PCS/PK,PC</v>
      </c>
      <c r="C42" s="10"/>
      <c r="D42" s="10"/>
      <c r="E42" s="18">
        <v>100</v>
      </c>
      <c r="F42" s="18" t="str">
        <f>VLOOKUP(A42,'ITEM LIST'!A:D,4,FALSE)</f>
        <v>PC</v>
      </c>
      <c r="G42" s="19">
        <v>216.2</v>
      </c>
      <c r="H42" s="20">
        <v>242.14399999999998</v>
      </c>
    </row>
    <row r="43" spans="1:8" ht="27" x14ac:dyDescent="0.35">
      <c r="A43" s="17" t="s">
        <v>838</v>
      </c>
      <c r="B43" s="10" t="str">
        <f>VLOOKUP(A43,'ITEM LIST'!A:D,3,FALSE)</f>
        <v>STICKER, GELATO PINT W/ PRINT, COLD ADHESION</v>
      </c>
      <c r="C43" s="10"/>
      <c r="D43" s="10"/>
      <c r="E43" s="18">
        <v>21</v>
      </c>
      <c r="F43" s="18" t="str">
        <f>VLOOKUP(A43,'ITEM LIST'!A:D,4,FALSE)</f>
        <v>SET</v>
      </c>
      <c r="G43" s="19">
        <v>204.84368099999998</v>
      </c>
      <c r="H43" s="20">
        <v>229.42492271999998</v>
      </c>
    </row>
    <row r="44" spans="1:8" ht="27" x14ac:dyDescent="0.35">
      <c r="A44" s="17" t="s">
        <v>834</v>
      </c>
      <c r="B44" s="10" t="str">
        <f>VLOOKUP(A44,'ITEM LIST'!A:D,3,FALSE)</f>
        <v>Plastic, Tub &amp; Lid, Gelato, Pint</v>
      </c>
      <c r="C44" s="10"/>
      <c r="D44" s="10"/>
      <c r="E44" s="18">
        <v>27</v>
      </c>
      <c r="F44" s="18" t="str">
        <f>VLOOKUP(A44,'ITEM LIST'!A:D,4,FALSE)</f>
        <v>SET</v>
      </c>
      <c r="G44" s="19">
        <v>291.24900000000002</v>
      </c>
      <c r="H44" s="20">
        <v>326.19888000000003</v>
      </c>
    </row>
    <row r="45" spans="1:8" ht="27" x14ac:dyDescent="0.35">
      <c r="A45" s="17" t="s">
        <v>730</v>
      </c>
      <c r="B45" s="10" t="str">
        <f>VLOOKUP(A45,'ITEM LIST'!A:D,3,FALSE)</f>
        <v>WOODEN, DILLY BAR STICK, L=6” X W=0.75”,10,000PCS/CTN</v>
      </c>
      <c r="C45" s="10"/>
      <c r="D45" s="10"/>
      <c r="E45" s="18">
        <v>500</v>
      </c>
      <c r="F45" s="18" t="str">
        <f>VLOOKUP(A45,'ITEM LIST'!A:D,4,FALSE)</f>
        <v>PC</v>
      </c>
      <c r="G45" s="19">
        <v>178.25</v>
      </c>
      <c r="H45" s="20">
        <v>199.64</v>
      </c>
    </row>
    <row r="46" spans="1:8" ht="27" x14ac:dyDescent="0.35">
      <c r="A46" s="17" t="s">
        <v>2460</v>
      </c>
      <c r="B46" s="10" t="str">
        <f>VLOOKUP(A46,'ITEM LIST'!A:D,3,FALSE)</f>
        <v>PISTACCHOCOLATO, WHOLE</v>
      </c>
      <c r="C46" s="10"/>
      <c r="D46" s="10"/>
      <c r="E46" s="18">
        <v>10</v>
      </c>
      <c r="F46" s="18" t="str">
        <f>VLOOKUP(A46,'ITEM LIST'!A:D,4,FALSE)</f>
        <v>PC</v>
      </c>
      <c r="G46" s="19">
        <v>4790.6249999999991</v>
      </c>
      <c r="H46" s="20">
        <v>5365.4999999999991</v>
      </c>
    </row>
    <row r="47" spans="1:8" ht="27" x14ac:dyDescent="0.35">
      <c r="A47" s="17" t="s">
        <v>2570</v>
      </c>
      <c r="B47" s="10" t="str">
        <f>VLOOKUP(A47,'ITEM LIST'!A:D,3,FALSE)</f>
        <v xml:space="preserve"> PISTACCHOCOLATO, CAKE MINI, PC </v>
      </c>
      <c r="C47" s="10"/>
      <c r="D47" s="10"/>
      <c r="E47" s="18">
        <v>6</v>
      </c>
      <c r="F47" s="18" t="str">
        <f>VLOOKUP(A47,'ITEM LIST'!A:D,4,FALSE)</f>
        <v>PC</v>
      </c>
      <c r="G47" s="19">
        <v>2086.875</v>
      </c>
      <c r="H47" s="20">
        <v>2337.3000000000002</v>
      </c>
    </row>
    <row r="48" spans="1:8" ht="27" x14ac:dyDescent="0.35">
      <c r="A48" s="17" t="s">
        <v>2574</v>
      </c>
      <c r="B48" s="10" t="str">
        <f>VLOOKUP(A48,'ITEM LIST'!A:D,3,FALSE)</f>
        <v>COOKIE DOUGH GELATO, 2.5/TRAY</v>
      </c>
      <c r="C48" s="10"/>
      <c r="D48" s="10"/>
      <c r="E48" s="18">
        <v>1</v>
      </c>
      <c r="F48" s="18" t="str">
        <f>VLOOKUP(A48,'ITEM LIST'!A:D,4,FALSE)</f>
        <v>TR</v>
      </c>
      <c r="G48" s="19">
        <v>1312.5</v>
      </c>
      <c r="H48" s="20">
        <v>1470</v>
      </c>
    </row>
    <row r="49" spans="1:8" ht="27" x14ac:dyDescent="0.35">
      <c r="A49" s="17" t="s">
        <v>4021</v>
      </c>
      <c r="B49" s="10" t="str">
        <f>VLOOKUP(A49,'ITEM LIST'!A:D,3,FALSE)</f>
        <v>CHOCOLATE JAVA CAKE, PC</v>
      </c>
      <c r="C49" s="10"/>
      <c r="D49" s="10"/>
      <c r="E49" s="18">
        <v>15</v>
      </c>
      <c r="F49" s="18" t="str">
        <f>VLOOKUP(A49,'ITEM LIST'!A:D,4,FALSE)</f>
        <v>PC</v>
      </c>
      <c r="G49" s="19">
        <v>6529.6874999999991</v>
      </c>
      <c r="H49" s="20">
        <v>7313.2499999999991</v>
      </c>
    </row>
    <row r="50" spans="1:8" ht="27" x14ac:dyDescent="0.35">
      <c r="A50" s="17" t="s">
        <v>3939</v>
      </c>
      <c r="B50" s="10" t="str">
        <f>VLOOKUP(A50,'ITEM LIST'!A:D,3,FALSE)</f>
        <v>SALTED CHOCOLATE SMORES CAKE, NEW, PC</v>
      </c>
      <c r="C50" s="10"/>
      <c r="D50" s="10"/>
      <c r="E50" s="18">
        <v>10</v>
      </c>
      <c r="F50" s="18" t="str">
        <f>VLOOKUP(A50,'ITEM LIST'!A:D,4,FALSE)</f>
        <v>PC</v>
      </c>
      <c r="G50" s="19">
        <v>4571.8749999999991</v>
      </c>
      <c r="H50" s="20">
        <v>5120.4999999999991</v>
      </c>
    </row>
    <row r="51" spans="1:8" ht="27" x14ac:dyDescent="0.35">
      <c r="A51" s="17" t="s">
        <v>3702</v>
      </c>
      <c r="B51" s="10" t="str">
        <f>VLOOKUP(A51,'ITEM LIST'!A:D,3,FALSE)</f>
        <v>UBE CAKE, PC</v>
      </c>
      <c r="C51" s="10"/>
      <c r="D51" s="10"/>
      <c r="E51" s="18">
        <v>24</v>
      </c>
      <c r="F51" s="18" t="str">
        <f>VLOOKUP(A51,'ITEM LIST'!A:D,4,FALSE)</f>
        <v>PC</v>
      </c>
      <c r="G51" s="19">
        <v>10972.499999999998</v>
      </c>
      <c r="H51" s="20">
        <v>12289.199999999997</v>
      </c>
    </row>
    <row r="52" spans="1:8" ht="27" x14ac:dyDescent="0.35">
      <c r="A52" s="17" t="s">
        <v>3591</v>
      </c>
      <c r="B52" s="10" t="str">
        <f>VLOOKUP(A52,'ITEM LIST'!A:D,3,FALSE)</f>
        <v>MIDNIGHT DREAM CAKE, WHOLE, MINI</v>
      </c>
      <c r="C52" s="10"/>
      <c r="D52" s="10"/>
      <c r="E52" s="18">
        <v>7</v>
      </c>
      <c r="F52" s="18" t="str">
        <f>VLOOKUP(A52,'ITEM LIST'!A:D,4,FALSE)</f>
        <v>PC</v>
      </c>
      <c r="G52" s="19">
        <v>2281.5625</v>
      </c>
      <c r="H52" s="20">
        <v>2555.35</v>
      </c>
    </row>
    <row r="53" spans="1:8" ht="27" x14ac:dyDescent="0.35">
      <c r="A53" s="17" t="s">
        <v>2274</v>
      </c>
      <c r="B53" s="10" t="str">
        <f>VLOOKUP(A53,'ITEM LIST'!A:D,3,FALSE)</f>
        <v>STRAWBERRY FROZEN, 150G / PACK</v>
      </c>
      <c r="C53" s="10"/>
      <c r="D53" s="10"/>
      <c r="E53" s="18">
        <v>1</v>
      </c>
      <c r="F53" s="18" t="str">
        <f>VLOOKUP(A53,'ITEM LIST'!A:D,4,FALSE)</f>
        <v>PK</v>
      </c>
      <c r="G53" s="19">
        <v>35.58</v>
      </c>
      <c r="H53" s="20">
        <v>39.849599999999995</v>
      </c>
    </row>
    <row r="54" spans="1:8" ht="27" x14ac:dyDescent="0.35">
      <c r="A54" s="17" t="s">
        <v>2296</v>
      </c>
      <c r="B54" s="10" t="str">
        <f>VLOOKUP(A54,'ITEM LIST'!A:D,3,FALSE)</f>
        <v>BLANK HAPPY BIRTHDAY LABEL, 24PCS/BX</v>
      </c>
      <c r="C54" s="10"/>
      <c r="D54" s="10"/>
      <c r="E54" s="18">
        <v>4</v>
      </c>
      <c r="F54" s="18" t="str">
        <f>VLOOKUP(A54,'ITEM LIST'!A:D,4,FALSE)</f>
        <v>BX</v>
      </c>
      <c r="G54" s="19">
        <v>621.98452800000007</v>
      </c>
      <c r="H54" s="20">
        <v>696.62267136000003</v>
      </c>
    </row>
    <row r="55" spans="1:8" ht="27" x14ac:dyDescent="0.35">
      <c r="A55" s="17" t="s">
        <v>2222</v>
      </c>
      <c r="B55" s="10" t="str">
        <f>VLOOKUP(A55,'ITEM LIST'!A:D,3,FALSE)</f>
        <v>NEW FERRERO, 2.5KG/TRAY</v>
      </c>
      <c r="C55" s="10"/>
      <c r="D55" s="10"/>
      <c r="E55" s="18">
        <v>1</v>
      </c>
      <c r="F55" s="18" t="str">
        <f>VLOOKUP(A55,'ITEM LIST'!A:D,4,FALSE)</f>
        <v>TR</v>
      </c>
      <c r="G55" s="19">
        <v>1312.4999999999998</v>
      </c>
      <c r="H55" s="20">
        <v>1469.9999999999998</v>
      </c>
    </row>
    <row r="56" spans="1:8" ht="27" x14ac:dyDescent="0.35">
      <c r="A56" s="17" t="s">
        <v>3014</v>
      </c>
      <c r="B56" s="10" t="str">
        <f>VLOOKUP(A56,'ITEM LIST'!A:D,3,FALSE)</f>
        <v>STRAWBERRY GELATO, 2.5 KG TRAY</v>
      </c>
      <c r="C56" s="10"/>
      <c r="D56" s="10"/>
      <c r="E56" s="18">
        <v>1</v>
      </c>
      <c r="F56" s="18" t="str">
        <f>VLOOKUP(A56,'ITEM LIST'!A:D,4,FALSE)</f>
        <v>TR</v>
      </c>
      <c r="G56" s="19">
        <v>1312.5</v>
      </c>
      <c r="H56" s="20">
        <v>1470</v>
      </c>
    </row>
    <row r="57" spans="1:8" ht="27" x14ac:dyDescent="0.35">
      <c r="A57" s="17" t="s">
        <v>3772</v>
      </c>
      <c r="B57" s="10" t="str">
        <f>VLOOKUP(A57,'ITEM LIST'!A:D,3,FALSE)</f>
        <v>MINI UBE CAKE</v>
      </c>
      <c r="C57" s="10"/>
      <c r="D57" s="10"/>
      <c r="E57" s="18">
        <v>4</v>
      </c>
      <c r="F57" s="18" t="str">
        <f>VLOOKUP(A57,'ITEM LIST'!A:D,4,FALSE)</f>
        <v>PC</v>
      </c>
      <c r="G57" s="19">
        <v>1303.75</v>
      </c>
      <c r="H57" s="20">
        <v>1460.2</v>
      </c>
    </row>
    <row r="58" spans="1:8" ht="27" x14ac:dyDescent="0.35">
      <c r="A58" s="17" t="s">
        <v>2570</v>
      </c>
      <c r="B58" s="10" t="str">
        <f>VLOOKUP(A58,'ITEM LIST'!A:D,3,FALSE)</f>
        <v xml:space="preserve"> PISTACCHOCOLATO, CAKE MINI, PC </v>
      </c>
      <c r="C58" s="10"/>
      <c r="D58" s="10"/>
      <c r="E58" s="18">
        <v>-3</v>
      </c>
      <c r="F58" s="18" t="str">
        <f>VLOOKUP(A58,'ITEM LIST'!A:D,4,FALSE)</f>
        <v>PC</v>
      </c>
      <c r="G58" s="19">
        <v>-1043.4375</v>
      </c>
      <c r="H58" s="20">
        <v>-1168.6500000000001</v>
      </c>
    </row>
    <row r="59" spans="1:8" ht="27" x14ac:dyDescent="0.35">
      <c r="A59" s="17" t="s">
        <v>3915</v>
      </c>
      <c r="B59" s="10" t="str">
        <f>VLOOKUP(A59,'ITEM LIST'!A:D,3,FALSE)</f>
        <v>MINI MANGO MAGNIFICO, PC</v>
      </c>
      <c r="C59" s="10"/>
      <c r="D59" s="10"/>
      <c r="E59" s="18">
        <v>4</v>
      </c>
      <c r="F59" s="18" t="str">
        <f>VLOOKUP(A59,'ITEM LIST'!A:D,4,FALSE)</f>
        <v>PC</v>
      </c>
      <c r="G59" s="19">
        <v>1303.75</v>
      </c>
      <c r="H59" s="20">
        <v>1460.2</v>
      </c>
    </row>
    <row r="60" spans="1:8" ht="27" x14ac:dyDescent="0.35">
      <c r="A60" s="17" t="s">
        <v>2626</v>
      </c>
      <c r="B60" s="10" t="str">
        <f>VLOOKUP(A60,'ITEM LIST'!A:D,3,FALSE)</f>
        <v>MIDNIGHT DREAM CAKE, PC</v>
      </c>
      <c r="C60" s="10"/>
      <c r="D60" s="10"/>
      <c r="E60" s="18">
        <v>12</v>
      </c>
      <c r="F60" s="18" t="str">
        <f>VLOOKUP(A60,'ITEM LIST'!A:D,4,FALSE)</f>
        <v>PC</v>
      </c>
      <c r="G60" s="19">
        <v>5591.25</v>
      </c>
      <c r="H60" s="20">
        <v>6262.2</v>
      </c>
    </row>
    <row r="61" spans="1:8" ht="27" x14ac:dyDescent="0.35">
      <c r="A61" s="17" t="s">
        <v>3058</v>
      </c>
      <c r="B61" s="10" t="str">
        <f>VLOOKUP(A61,'ITEM LIST'!A:D,3,FALSE)</f>
        <v>SEA SALTED CRUNCH 140 GM</v>
      </c>
      <c r="C61" s="10"/>
      <c r="D61" s="10"/>
      <c r="E61" s="18">
        <v>15</v>
      </c>
      <c r="F61" s="18" t="str">
        <f>VLOOKUP(A61,'ITEM LIST'!A:D,4,FALSE)</f>
        <v>PK</v>
      </c>
      <c r="G61" s="19">
        <v>196.99499999999998</v>
      </c>
      <c r="H61" s="20">
        <v>220.63439999999997</v>
      </c>
    </row>
    <row r="62" spans="1:8" ht="27" x14ac:dyDescent="0.35">
      <c r="A62" s="17" t="s">
        <v>3776</v>
      </c>
      <c r="B62" s="10" t="str">
        <f>VLOOKUP(A62,'ITEM LIST'!A:D,3,FALSE)</f>
        <v>STRAWBERRY, VACUUM PACKED, PK</v>
      </c>
      <c r="C62" s="10"/>
      <c r="D62" s="10"/>
      <c r="E62" s="18">
        <v>5</v>
      </c>
      <c r="F62" s="18" t="str">
        <f>VLOOKUP(A62,'ITEM LIST'!A:D,4,FALSE)</f>
        <v>PK</v>
      </c>
      <c r="G62" s="19">
        <v>528.86827941176466</v>
      </c>
      <c r="H62" s="20">
        <v>592.33247294117643</v>
      </c>
    </row>
    <row r="63" spans="1:8" ht="27" x14ac:dyDescent="0.35">
      <c r="A63" s="17" t="s">
        <v>3583</v>
      </c>
      <c r="B63" s="10" t="str">
        <f>VLOOKUP(A63,'ITEM LIST'!A:D,3,FALSE)</f>
        <v>STRAWBERRY CAKE, PIECE</v>
      </c>
      <c r="C63" s="10"/>
      <c r="D63" s="10"/>
      <c r="E63" s="18">
        <v>5</v>
      </c>
      <c r="F63" s="18" t="str">
        <f>VLOOKUP(A63,'ITEM LIST'!A:D,4,FALSE)</f>
        <v>PC</v>
      </c>
      <c r="G63" s="19">
        <v>3051.5624999999995</v>
      </c>
      <c r="H63" s="20">
        <v>3417.7499999999995</v>
      </c>
    </row>
    <row r="64" spans="1:8" ht="29.25" customHeight="1" x14ac:dyDescent="0.35">
      <c r="A64" s="17" t="s">
        <v>4019</v>
      </c>
      <c r="B64" s="10" t="str">
        <f>VLOOKUP(A64,'ITEM LIST'!A:D,3,FALSE)</f>
        <v>COFFEE CRUNCH,  70 G/PK, PK</v>
      </c>
      <c r="C64" s="10"/>
      <c r="D64" s="10"/>
      <c r="E64" s="18">
        <v>15</v>
      </c>
      <c r="F64" s="18" t="str">
        <f>VLOOKUP(A64,'ITEM LIST'!A:D,4,FALSE)</f>
        <v>PK</v>
      </c>
      <c r="G64" s="19">
        <v>178.5</v>
      </c>
      <c r="H64" s="20">
        <v>199.92</v>
      </c>
    </row>
    <row r="65" spans="1:8" ht="27" x14ac:dyDescent="0.35">
      <c r="A65" s="17" t="s">
        <v>3798</v>
      </c>
      <c r="B65" s="10" t="str">
        <f>VLOOKUP(A65,'ITEM LIST'!A:D,3,FALSE)</f>
        <v>MANGO MAGNIFICO CAKE, WHOLE, NEW DESIGN</v>
      </c>
      <c r="C65" s="10"/>
      <c r="D65" s="10"/>
      <c r="E65" s="18">
        <v>16</v>
      </c>
      <c r="F65" s="18" t="str">
        <f>VLOOKUP(A65,'ITEM LIST'!A:D,4,FALSE)</f>
        <v>PC</v>
      </c>
      <c r="G65" s="19">
        <v>7314.9999999999991</v>
      </c>
      <c r="H65" s="20">
        <v>8192.7999999999993</v>
      </c>
    </row>
    <row r="66" spans="1:8" ht="24.75" customHeight="1" x14ac:dyDescent="0.35">
      <c r="A66" s="17" t="s">
        <v>3587</v>
      </c>
      <c r="B66" s="10" t="str">
        <f>VLOOKUP(A66,'ITEM LIST'!A:D,3,FALSE)</f>
        <v>CASHEW BRITTLE, 10 GRAMS PER PACK</v>
      </c>
      <c r="C66" s="10"/>
      <c r="D66" s="10"/>
      <c r="E66" s="18">
        <v>7</v>
      </c>
      <c r="F66" s="18" t="str">
        <f>VLOOKUP(A66,'ITEM LIST'!A:D,4,FALSE)</f>
        <v>PK</v>
      </c>
      <c r="G66" s="19">
        <v>24.540612068965515</v>
      </c>
      <c r="H66" s="20">
        <v>27.485485517241376</v>
      </c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77839.279275389359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6"/>
      <c r="G77" s="55"/>
      <c r="H77" s="47">
        <v>8339.9227795060015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69499.356495883359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69499.356495883359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8339.9227795060015</v>
      </c>
      <c r="G83" s="38"/>
      <c r="H83" s="35">
        <f>F83</f>
        <v>8339.9227795060015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694.99356495883364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77144.285710430529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4621-4B42-4988-8CBE-7E74DB395369}">
  <sheetPr>
    <pageSetUpPr fitToPage="1"/>
  </sheetPr>
  <dimension ref="A10:H86"/>
  <sheetViews>
    <sheetView tabSelected="1" view="pageBreakPreview" topLeftCell="A30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/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2682</v>
      </c>
      <c r="B27" s="10" t="str">
        <f>VLOOKUP(A27,'ITEM LIST'!A:D,3,FALSE)</f>
        <v>SEA SALTED HONEY CRUNCH CAKE</v>
      </c>
      <c r="C27" s="10"/>
      <c r="D27" s="10"/>
      <c r="E27" s="18">
        <v>15</v>
      </c>
      <c r="F27" s="18" t="str">
        <f>VLOOKUP(A27,'ITEM LIST'!A:D,4,FALSE)</f>
        <v>PC</v>
      </c>
      <c r="G27" s="19">
        <v>5676.5624999999991</v>
      </c>
      <c r="H27" s="20">
        <v>6357.7499999999991</v>
      </c>
    </row>
    <row r="28" spans="1:8" ht="27" x14ac:dyDescent="0.35">
      <c r="A28" s="17" t="s">
        <v>2628</v>
      </c>
      <c r="B28" s="10" t="str">
        <f>VLOOKUP(A28,'ITEM LIST'!A:D,3,FALSE)</f>
        <v>CASHEW BRITTLE, 15G/PK, PK</v>
      </c>
      <c r="C28" s="10"/>
      <c r="D28" s="10"/>
      <c r="E28" s="18">
        <v>12</v>
      </c>
      <c r="F28" s="18" t="str">
        <f>VLOOKUP(A28,'ITEM LIST'!A:D,4,FALSE)</f>
        <v>PK</v>
      </c>
      <c r="G28" s="19">
        <v>63.104431034482751</v>
      </c>
      <c r="H28" s="20">
        <v>70.676962758620675</v>
      </c>
    </row>
    <row r="29" spans="1:8" ht="27" x14ac:dyDescent="0.35">
      <c r="A29" s="17" t="s">
        <v>3615</v>
      </c>
      <c r="B29" s="10" t="str">
        <f>VLOOKUP(A29,'ITEM LIST'!A:D,3,FALSE)</f>
        <v>COFFEE MUDSLIDE GELATO, 2.5KGS./TRAY</v>
      </c>
      <c r="C29" s="10"/>
      <c r="D29" s="10"/>
      <c r="E29" s="18">
        <v>1</v>
      </c>
      <c r="F29" s="18" t="str">
        <f>VLOOKUP(A29,'ITEM LIST'!A:D,4,FALSE)</f>
        <v>TR</v>
      </c>
      <c r="G29" s="19">
        <v>1312.5</v>
      </c>
      <c r="H29" s="20">
        <v>1470</v>
      </c>
    </row>
    <row r="30" spans="1:8" ht="27" x14ac:dyDescent="0.35">
      <c r="A30" s="17" t="s">
        <v>3064</v>
      </c>
      <c r="B30" s="10" t="str">
        <f>VLOOKUP(A30,'ITEM LIST'!A:D,3,FALSE)</f>
        <v>MANGO CREAM PIE 4.5 KG</v>
      </c>
      <c r="C30" s="10"/>
      <c r="D30" s="10"/>
      <c r="E30" s="18">
        <v>0.56000000000000005</v>
      </c>
      <c r="F30" s="18" t="str">
        <f>VLOOKUP(A30,'ITEM LIST'!A:D,4,FALSE)</f>
        <v>TR</v>
      </c>
      <c r="G30" s="19">
        <v>1188</v>
      </c>
      <c r="H30" s="20">
        <v>1330.56</v>
      </c>
    </row>
    <row r="31" spans="1:8" ht="27" x14ac:dyDescent="0.35">
      <c r="A31" s="17" t="s">
        <v>3030</v>
      </c>
      <c r="B31" s="10" t="str">
        <f>VLOOKUP(A31,'ITEM LIST'!A:D,3,FALSE)</f>
        <v>OREO COOKIES N' CREAM, 4.5KG./TRAY</v>
      </c>
      <c r="C31" s="10"/>
      <c r="D31" s="10"/>
      <c r="E31" s="18">
        <v>0.56000000000000005</v>
      </c>
      <c r="F31" s="18" t="str">
        <f>VLOOKUP(A31,'ITEM LIST'!A:D,4,FALSE)</f>
        <v>TR</v>
      </c>
      <c r="G31" s="19">
        <v>1323.0000000000002</v>
      </c>
      <c r="H31" s="20">
        <v>1481.7600000000002</v>
      </c>
    </row>
    <row r="32" spans="1:8" ht="27" x14ac:dyDescent="0.35">
      <c r="A32" s="17" t="s">
        <v>3020</v>
      </c>
      <c r="B32" s="10" t="str">
        <f>VLOOKUP(A32,'ITEM LIST'!A:D,3,FALSE)</f>
        <v>CHOCOLATE THERAPY GELATO, 4.5/TRAY</v>
      </c>
      <c r="C32" s="10"/>
      <c r="D32" s="10"/>
      <c r="E32" s="18">
        <v>1</v>
      </c>
      <c r="F32" s="18" t="str">
        <f>VLOOKUP(A32,'ITEM LIST'!A:D,4,FALSE)</f>
        <v>TR</v>
      </c>
      <c r="G32" s="19">
        <v>2362.5</v>
      </c>
      <c r="H32" s="20">
        <v>2646</v>
      </c>
    </row>
    <row r="33" spans="1:8" ht="27" x14ac:dyDescent="0.35">
      <c r="A33" s="17" t="s">
        <v>27</v>
      </c>
      <c r="B33" s="10" t="str">
        <f>VLOOKUP(A33,'ITEM LIST'!A:D,3,FALSE)</f>
        <v>DISPOSABLE, PLASTIC GLOVES, LARGE, 100 PCS XPACK</v>
      </c>
      <c r="C33" s="10"/>
      <c r="D33" s="10"/>
      <c r="E33" s="18">
        <v>5</v>
      </c>
      <c r="F33" s="18" t="str">
        <f>VLOOKUP(A33,'ITEM LIST'!A:D,4,FALSE)</f>
        <v>PK</v>
      </c>
      <c r="G33" s="19">
        <v>256.68</v>
      </c>
      <c r="H33" s="20">
        <v>287.48160000000001</v>
      </c>
    </row>
    <row r="34" spans="1:8" ht="27" x14ac:dyDescent="0.35">
      <c r="A34" s="17" t="s">
        <v>704</v>
      </c>
      <c r="B34" s="10" t="str">
        <f>VLOOKUP(A34,'ITEM LIST'!A:D,3,FALSE)</f>
        <v>DISPOSABLE PAPER CUP, W/PRINT, 4OZ, PC</v>
      </c>
      <c r="C34" s="10"/>
      <c r="D34" s="10"/>
      <c r="E34" s="18">
        <v>200</v>
      </c>
      <c r="F34" s="18" t="str">
        <f>VLOOKUP(A34,'ITEM LIST'!A:D,4,FALSE)</f>
        <v>PC</v>
      </c>
      <c r="G34" s="19">
        <v>296.7</v>
      </c>
      <c r="H34" s="20">
        <v>332.30399999999997</v>
      </c>
    </row>
    <row r="35" spans="1:8" ht="27" x14ac:dyDescent="0.35">
      <c r="A35" s="17" t="s">
        <v>848</v>
      </c>
      <c r="B35" s="10" t="str">
        <f>VLOOKUP(A35,'ITEM LIST'!A:D,3,FALSE)</f>
        <v>PLASTIC, TUB &amp; LID, GELATO, 1Liter</v>
      </c>
      <c r="C35" s="10"/>
      <c r="D35" s="10"/>
      <c r="E35" s="18">
        <v>40</v>
      </c>
      <c r="F35" s="18" t="str">
        <f>VLOOKUP(A35,'ITEM LIST'!A:D,4,FALSE)</f>
        <v>SET</v>
      </c>
      <c r="G35" s="19">
        <v>632.95999999999992</v>
      </c>
      <c r="H35" s="20">
        <v>708.91519999999991</v>
      </c>
    </row>
    <row r="36" spans="1:8" ht="27" x14ac:dyDescent="0.35">
      <c r="A36" s="17" t="s">
        <v>802</v>
      </c>
      <c r="B36" s="10" t="str">
        <f>VLOOKUP(A36,'ITEM LIST'!A:D,3,FALSE)</f>
        <v>PAPER, BAG, KRAFT#2, CARAMIA, 70GSM</v>
      </c>
      <c r="C36" s="10"/>
      <c r="D36" s="10"/>
      <c r="E36" s="18">
        <v>60</v>
      </c>
      <c r="F36" s="18" t="str">
        <f>VLOOKUP(A36,'ITEM LIST'!A:D,4,FALSE)</f>
        <v>PC</v>
      </c>
      <c r="G36" s="19">
        <v>286.35000000000002</v>
      </c>
      <c r="H36" s="20">
        <v>320.71200000000005</v>
      </c>
    </row>
    <row r="37" spans="1:8" ht="27" x14ac:dyDescent="0.35">
      <c r="A37" s="17" t="s">
        <v>804</v>
      </c>
      <c r="B37" s="10" t="str">
        <f>VLOOKUP(A37,'ITEM LIST'!A:D,3,FALSE)</f>
        <v>PLASTIC, CONTAINER, PET C-302, 294X150X48MM</v>
      </c>
      <c r="C37" s="10"/>
      <c r="D37" s="10"/>
      <c r="E37" s="18">
        <v>100</v>
      </c>
      <c r="F37" s="18" t="str">
        <f>VLOOKUP(A37,'ITEM LIST'!A:D,4,FALSE)</f>
        <v>PC</v>
      </c>
      <c r="G37" s="19">
        <v>462.29999999999995</v>
      </c>
      <c r="H37" s="20">
        <v>517.77599999999995</v>
      </c>
    </row>
    <row r="38" spans="1:8" ht="27" x14ac:dyDescent="0.35">
      <c r="A38" s="17" t="s">
        <v>706</v>
      </c>
      <c r="B38" s="10" t="str">
        <f>VLOOKUP(A38,'ITEM LIST'!A:D,3,FALSE)</f>
        <v>DISPOSABLE PAPER CUP, W/PRINT, 8.79OZ, PC</v>
      </c>
      <c r="C38" s="10"/>
      <c r="D38" s="10"/>
      <c r="E38" s="18">
        <v>200</v>
      </c>
      <c r="F38" s="18" t="str">
        <f>VLOOKUP(A38,'ITEM LIST'!A:D,4,FALSE)</f>
        <v>PC</v>
      </c>
      <c r="G38" s="19">
        <v>328.9</v>
      </c>
      <c r="H38" s="20">
        <v>368.36799999999999</v>
      </c>
    </row>
    <row r="39" spans="1:8" ht="27" x14ac:dyDescent="0.35">
      <c r="A39" s="17" t="s">
        <v>850</v>
      </c>
      <c r="B39" s="10" t="str">
        <f>VLOOKUP(A39,'ITEM LIST'!A:D,3,FALSE)</f>
        <v>STICKER, GELATO 1LITER W/ PRINT, COLD ADHESION</v>
      </c>
      <c r="C39" s="10"/>
      <c r="D39" s="10"/>
      <c r="E39" s="18">
        <v>12</v>
      </c>
      <c r="F39" s="18" t="str">
        <f>VLOOKUP(A39,'ITEM LIST'!A:D,4,FALSE)</f>
        <v>PC</v>
      </c>
      <c r="G39" s="19">
        <v>98.531999999999982</v>
      </c>
      <c r="H39" s="20">
        <v>110.35583999999997</v>
      </c>
    </row>
    <row r="40" spans="1:8" ht="27" x14ac:dyDescent="0.35">
      <c r="A40" s="17" t="s">
        <v>800</v>
      </c>
      <c r="B40" s="10" t="str">
        <f>VLOOKUP(A40,'ITEM LIST'!A:D,3,FALSE)</f>
        <v>PAPER, BAG, KRAFT#3, CARAMIA, 80GSM</v>
      </c>
      <c r="C40" s="10"/>
      <c r="D40" s="10"/>
      <c r="E40" s="18">
        <v>25</v>
      </c>
      <c r="F40" s="18" t="str">
        <f>VLOOKUP(A40,'ITEM LIST'!A:D,4,FALSE)</f>
        <v>PC</v>
      </c>
      <c r="G40" s="19">
        <v>140.01249999999999</v>
      </c>
      <c r="H40" s="20">
        <v>156.81399999999999</v>
      </c>
    </row>
    <row r="41" spans="1:8" ht="27" x14ac:dyDescent="0.35">
      <c r="A41" s="17" t="s">
        <v>734</v>
      </c>
      <c r="B41" s="10" t="str">
        <f>VLOOKUP(A41,'ITEM LIST'!A:D,3,FALSE)</f>
        <v>THERMAL BAG,PINK&amp;SILVER,W/PRINT, 10.5X10.5X6in,</v>
      </c>
      <c r="C41" s="10"/>
      <c r="D41" s="10"/>
      <c r="E41" s="18">
        <v>20</v>
      </c>
      <c r="F41" s="18" t="str">
        <f>VLOOKUP(A41,'ITEM LIST'!A:D,4,FALSE)</f>
        <v>PC</v>
      </c>
      <c r="G41" s="19">
        <v>2772.42</v>
      </c>
      <c r="H41" s="20">
        <v>3105.1104</v>
      </c>
    </row>
    <row r="42" spans="1:8" ht="27" x14ac:dyDescent="0.35">
      <c r="A42" s="17" t="s">
        <v>21</v>
      </c>
      <c r="B42" s="10" t="str">
        <f>VLOOKUP(A42,'ITEM LIST'!A:D,3,FALSE)</f>
        <v>CLING WRAP, 30 METERS PER ROLL</v>
      </c>
      <c r="C42" s="10"/>
      <c r="D42" s="10"/>
      <c r="E42" s="18">
        <v>1</v>
      </c>
      <c r="F42" s="18" t="str">
        <f>VLOOKUP(A42,'ITEM LIST'!A:D,4,FALSE)</f>
        <v>RL</v>
      </c>
      <c r="G42" s="19">
        <v>246.43349999999998</v>
      </c>
      <c r="H42" s="20">
        <v>276.00551999999999</v>
      </c>
    </row>
    <row r="43" spans="1:8" ht="27" x14ac:dyDescent="0.35">
      <c r="A43" s="17" t="s">
        <v>2570</v>
      </c>
      <c r="B43" s="10" t="str">
        <f>VLOOKUP(A43,'ITEM LIST'!A:D,3,FALSE)</f>
        <v xml:space="preserve"> PISTACCHOCOLATO, CAKE MINI, PC </v>
      </c>
      <c r="C43" s="10"/>
      <c r="D43" s="10"/>
      <c r="E43" s="18">
        <v>3</v>
      </c>
      <c r="F43" s="18" t="str">
        <f>VLOOKUP(A43,'ITEM LIST'!A:D,4,FALSE)</f>
        <v>PC</v>
      </c>
      <c r="G43" s="19">
        <v>1043.4375</v>
      </c>
      <c r="H43" s="20">
        <v>1168.6500000000001</v>
      </c>
    </row>
    <row r="44" spans="1:8" ht="27" x14ac:dyDescent="0.35">
      <c r="A44" s="17" t="s">
        <v>3591</v>
      </c>
      <c r="B44" s="10" t="str">
        <f>VLOOKUP(A44,'ITEM LIST'!A:D,3,FALSE)</f>
        <v>MIDNIGHT DREAM CAKE, WHOLE, MINI</v>
      </c>
      <c r="C44" s="10"/>
      <c r="D44" s="10"/>
      <c r="E44" s="18">
        <v>1</v>
      </c>
      <c r="F44" s="18" t="str">
        <f>VLOOKUP(A44,'ITEM LIST'!A:D,4,FALSE)</f>
        <v>PC</v>
      </c>
      <c r="G44" s="19">
        <v>325.9375</v>
      </c>
      <c r="H44" s="20">
        <v>365.05</v>
      </c>
    </row>
    <row r="45" spans="1:8" ht="27" x14ac:dyDescent="0.35">
      <c r="A45" s="17" t="s">
        <v>3587</v>
      </c>
      <c r="B45" s="10" t="str">
        <f>VLOOKUP(A45,'ITEM LIST'!A:D,3,FALSE)</f>
        <v>CASHEW BRITTLE, 10 GRAMS PER PACK</v>
      </c>
      <c r="C45" s="10"/>
      <c r="D45" s="10"/>
      <c r="E45" s="18">
        <v>1</v>
      </c>
      <c r="F45" s="18" t="str">
        <f>VLOOKUP(A45,'ITEM LIST'!A:D,4,FALSE)</f>
        <v>PK</v>
      </c>
      <c r="G45" s="19">
        <v>3.5058017241379309</v>
      </c>
      <c r="H45" s="20">
        <v>3.9264979310344827</v>
      </c>
    </row>
    <row r="46" spans="1:8" ht="27" x14ac:dyDescent="0.35">
      <c r="A46" s="17" t="s">
        <v>3915</v>
      </c>
      <c r="B46" s="10" t="str">
        <f>VLOOKUP(A46,'ITEM LIST'!A:D,3,FALSE)</f>
        <v>MINI MANGO MAGNIFICO, PC</v>
      </c>
      <c r="C46" s="10"/>
      <c r="D46" s="10"/>
      <c r="E46" s="18">
        <v>1</v>
      </c>
      <c r="F46" s="18" t="str">
        <f>VLOOKUP(A46,'ITEM LIST'!A:D,4,FALSE)</f>
        <v>PC</v>
      </c>
      <c r="G46" s="19">
        <v>325.9375</v>
      </c>
      <c r="H46" s="20">
        <v>365.05</v>
      </c>
    </row>
    <row r="47" spans="1:8" ht="27" x14ac:dyDescent="0.35">
      <c r="A47" s="17" t="s">
        <v>3772</v>
      </c>
      <c r="B47" s="10" t="str">
        <f>VLOOKUP(A47,'ITEM LIST'!A:D,3,FALSE)</f>
        <v>MINI UBE CAKE</v>
      </c>
      <c r="C47" s="10"/>
      <c r="D47" s="10"/>
      <c r="E47" s="18">
        <v>1</v>
      </c>
      <c r="F47" s="18" t="str">
        <f>VLOOKUP(A47,'ITEM LIST'!A:D,4,FALSE)</f>
        <v>PC</v>
      </c>
      <c r="G47" s="19">
        <v>325.9375</v>
      </c>
      <c r="H47" s="20">
        <v>365.05</v>
      </c>
    </row>
    <row r="48" spans="1:8" ht="27" x14ac:dyDescent="0.35">
      <c r="A48" s="17" t="s">
        <v>4068</v>
      </c>
      <c r="B48" s="10" t="str">
        <f>VLOOKUP(A48,'ITEM LIST'!A:D,3,FALSE)</f>
        <v>MANGO CREAM PIE ver.1, PC</v>
      </c>
      <c r="C48" s="10"/>
      <c r="D48" s="10"/>
      <c r="E48" s="18">
        <v>2</v>
      </c>
      <c r="F48" s="18" t="str">
        <f>VLOOKUP(A48,'ITEM LIST'!A:D,4,FALSE)</f>
        <v>PC</v>
      </c>
      <c r="G48" s="19">
        <v>1045.6199999999999</v>
      </c>
      <c r="H48" s="20">
        <v>1171.0944</v>
      </c>
    </row>
    <row r="49" spans="1:8" ht="27" x14ac:dyDescent="0.35">
      <c r="A49" s="17"/>
      <c r="B49" s="10"/>
      <c r="C49" s="10"/>
      <c r="D49" s="10"/>
      <c r="E49" s="18"/>
      <c r="F49" s="18"/>
      <c r="G49" s="19"/>
      <c r="H49" s="20"/>
    </row>
    <row r="50" spans="1:8" ht="27" x14ac:dyDescent="0.35">
      <c r="A50" s="17"/>
      <c r="B50" s="10"/>
      <c r="C50" s="10"/>
      <c r="D50" s="10"/>
      <c r="E50" s="18"/>
      <c r="F50" s="18"/>
      <c r="G50" s="19"/>
      <c r="H50" s="20"/>
    </row>
    <row r="51" spans="1:8" ht="27" x14ac:dyDescent="0.35">
      <c r="A51" s="17"/>
      <c r="B51" s="10"/>
      <c r="C51" s="10"/>
      <c r="D51" s="10"/>
      <c r="E51" s="18"/>
      <c r="F51" s="18"/>
      <c r="G51" s="19"/>
      <c r="H51" s="20"/>
    </row>
    <row r="52" spans="1:8" ht="27" x14ac:dyDescent="0.35">
      <c r="A52" s="17"/>
      <c r="B52" s="10"/>
      <c r="C52" s="10"/>
      <c r="D52" s="10"/>
      <c r="E52" s="18"/>
      <c r="F52" s="18"/>
      <c r="G52" s="19"/>
      <c r="H52" s="20"/>
    </row>
    <row r="53" spans="1:8" ht="27" x14ac:dyDescent="0.35">
      <c r="A53" s="17"/>
      <c r="B53" s="10"/>
      <c r="C53" s="10"/>
      <c r="D53" s="10"/>
      <c r="E53" s="18"/>
      <c r="F53" s="18"/>
      <c r="G53" s="19"/>
      <c r="H53" s="20"/>
    </row>
    <row r="54" spans="1:8" ht="27" x14ac:dyDescent="0.35">
      <c r="A54" s="17"/>
      <c r="B54" s="10"/>
      <c r="C54" s="10"/>
      <c r="D54" s="10"/>
      <c r="E54" s="18"/>
      <c r="F54" s="18"/>
      <c r="G54" s="19"/>
      <c r="H54" s="20"/>
    </row>
    <row r="55" spans="1:8" ht="27" x14ac:dyDescent="0.35">
      <c r="A55" s="17"/>
      <c r="B55" s="10"/>
      <c r="C55" s="10"/>
      <c r="D55" s="10"/>
      <c r="E55" s="18"/>
      <c r="F55" s="18"/>
      <c r="G55" s="19"/>
      <c r="H55" s="20"/>
    </row>
    <row r="56" spans="1:8" ht="27" x14ac:dyDescent="0.35">
      <c r="A56" s="17"/>
      <c r="B56" s="10"/>
      <c r="C56" s="10"/>
      <c r="D56" s="10"/>
      <c r="E56" s="18"/>
      <c r="F56" s="18"/>
      <c r="G56" s="19"/>
      <c r="H56" s="20"/>
    </row>
    <row r="57" spans="1:8" ht="27" x14ac:dyDescent="0.35">
      <c r="A57" s="17"/>
      <c r="B57" s="10"/>
      <c r="C57" s="10"/>
      <c r="D57" s="10"/>
      <c r="E57" s="18"/>
      <c r="F57" s="18"/>
      <c r="G57" s="19"/>
      <c r="H57" s="20"/>
    </row>
    <row r="58" spans="1:8" ht="27" x14ac:dyDescent="0.35">
      <c r="A58" s="17"/>
      <c r="B58" s="10"/>
      <c r="C58" s="10"/>
      <c r="D58" s="10"/>
      <c r="E58" s="18"/>
      <c r="F58" s="18"/>
      <c r="G58" s="19"/>
      <c r="H58" s="20"/>
    </row>
    <row r="59" spans="1:8" ht="27" x14ac:dyDescent="0.35">
      <c r="A59" s="17"/>
      <c r="B59" s="10"/>
      <c r="C59" s="10"/>
      <c r="D59" s="10"/>
      <c r="E59" s="18"/>
      <c r="F59" s="18"/>
      <c r="G59" s="19"/>
      <c r="H59" s="20"/>
    </row>
    <row r="60" spans="1:8" ht="27" x14ac:dyDescent="0.35">
      <c r="A60" s="17"/>
      <c r="B60" s="10"/>
      <c r="C60" s="10"/>
      <c r="D60" s="10"/>
      <c r="E60" s="18"/>
      <c r="F60" s="18"/>
      <c r="G60" s="19"/>
      <c r="H60" s="20"/>
    </row>
    <row r="61" spans="1:8" ht="27" x14ac:dyDescent="0.35">
      <c r="A61" s="17"/>
      <c r="B61" s="10"/>
      <c r="C61" s="10"/>
      <c r="D61" s="10"/>
      <c r="E61" s="18"/>
      <c r="F61" s="18"/>
      <c r="G61" s="19"/>
      <c r="H61" s="20"/>
    </row>
    <row r="62" spans="1:8" ht="27" x14ac:dyDescent="0.35">
      <c r="A62" s="17"/>
      <c r="B62" s="10"/>
      <c r="C62" s="10"/>
      <c r="D62" s="10"/>
      <c r="E62" s="18"/>
      <c r="F62" s="18"/>
      <c r="G62" s="19"/>
      <c r="H62" s="20"/>
    </row>
    <row r="63" spans="1:8" ht="27" x14ac:dyDescent="0.35">
      <c r="A63" s="17"/>
      <c r="B63" s="10"/>
      <c r="C63" s="10"/>
      <c r="D63" s="10"/>
      <c r="E63" s="18"/>
      <c r="F63" s="18"/>
      <c r="G63" s="19"/>
      <c r="H63" s="20"/>
    </row>
    <row r="64" spans="1:8" ht="29.25" customHeight="1" x14ac:dyDescent="0.35">
      <c r="A64" s="17"/>
      <c r="B64" s="10"/>
      <c r="C64" s="10"/>
      <c r="D64" s="10"/>
      <c r="E64" s="18"/>
      <c r="F64" s="18"/>
      <c r="G64" s="19"/>
      <c r="H64" s="20"/>
    </row>
    <row r="65" spans="1:8" ht="27" x14ac:dyDescent="0.35">
      <c r="A65" s="17"/>
      <c r="B65" s="10"/>
      <c r="C65" s="10"/>
      <c r="D65" s="10"/>
      <c r="E65" s="18"/>
      <c r="F65" s="18"/>
      <c r="G65" s="19"/>
      <c r="H65" s="20"/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22979.410420689652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6"/>
      <c r="G77" s="55"/>
      <c r="H77" s="47">
        <v>2462.0796879310351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20517.330732758615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20517.330732758615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2462.0796879310351</v>
      </c>
      <c r="G83" s="38"/>
      <c r="H83" s="35">
        <f>F83</f>
        <v>2462.0796879310351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205.17330732758614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22774.237113362065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287E-FC93-43EF-876C-58D61D365808}">
  <sheetPr codeName="Sheet3"/>
  <dimension ref="B11:K79"/>
  <sheetViews>
    <sheetView topLeftCell="A7" workbookViewId="0">
      <selection activeCell="E21" sqref="E21"/>
    </sheetView>
  </sheetViews>
  <sheetFormatPr defaultRowHeight="15" x14ac:dyDescent="0.25"/>
  <cols>
    <col min="8" max="8" width="51.28515625" customWidth="1"/>
  </cols>
  <sheetData>
    <row r="11" spans="11:11" x14ac:dyDescent="0.25">
      <c r="K11" t="s">
        <v>5256</v>
      </c>
    </row>
    <row r="20" spans="5:8" ht="25.5" x14ac:dyDescent="0.25">
      <c r="H20" s="48" t="s">
        <v>5269</v>
      </c>
    </row>
    <row r="21" spans="5:8" x14ac:dyDescent="0.25">
      <c r="H21" s="48" t="s">
        <v>5268</v>
      </c>
    </row>
    <row r="22" spans="5:8" x14ac:dyDescent="0.25">
      <c r="H22" s="48" t="s">
        <v>5268</v>
      </c>
    </row>
    <row r="23" spans="5:8" x14ac:dyDescent="0.25">
      <c r="H23" s="48" t="s">
        <v>5268</v>
      </c>
    </row>
    <row r="24" spans="5:8" x14ac:dyDescent="0.25">
      <c r="H24" s="48" t="s">
        <v>5268</v>
      </c>
    </row>
    <row r="25" spans="5:8" x14ac:dyDescent="0.25">
      <c r="H25" s="48" t="s">
        <v>5268</v>
      </c>
    </row>
    <row r="27" spans="5:8" x14ac:dyDescent="0.25">
      <c r="E27" t="s">
        <v>5263</v>
      </c>
    </row>
    <row r="28" spans="5:8" x14ac:dyDescent="0.25">
      <c r="G28" t="s">
        <v>5266</v>
      </c>
      <c r="H28" t="s">
        <v>5267</v>
      </c>
    </row>
    <row r="29" spans="5:8" x14ac:dyDescent="0.25">
      <c r="E29" t="s">
        <v>5261</v>
      </c>
      <c r="G29" t="s">
        <v>1454</v>
      </c>
      <c r="H29">
        <v>1312.5</v>
      </c>
    </row>
    <row r="30" spans="5:8" x14ac:dyDescent="0.25">
      <c r="E30" t="s">
        <v>5261</v>
      </c>
      <c r="G30" t="s">
        <v>1454</v>
      </c>
      <c r="H30">
        <v>1312.5</v>
      </c>
    </row>
    <row r="31" spans="5:8" x14ac:dyDescent="0.25">
      <c r="E31" t="s">
        <v>5261</v>
      </c>
      <c r="G31" t="s">
        <v>1454</v>
      </c>
      <c r="H31">
        <v>1312.4999999999998</v>
      </c>
    </row>
    <row r="32" spans="5:8" x14ac:dyDescent="0.25">
      <c r="E32" t="s">
        <v>5261</v>
      </c>
      <c r="G32" t="s">
        <v>1454</v>
      </c>
      <c r="H32">
        <v>46.009273499999999</v>
      </c>
    </row>
    <row r="33" spans="5:8" x14ac:dyDescent="0.25">
      <c r="E33" t="s">
        <v>5261</v>
      </c>
      <c r="G33" t="s">
        <v>1454</v>
      </c>
      <c r="H33">
        <v>155.49613200000002</v>
      </c>
    </row>
    <row r="34" spans="5:8" x14ac:dyDescent="0.25">
      <c r="E34" t="s">
        <v>5261</v>
      </c>
      <c r="G34" t="s">
        <v>1454</v>
      </c>
      <c r="H34">
        <v>2362.5</v>
      </c>
    </row>
    <row r="35" spans="5:8" x14ac:dyDescent="0.25">
      <c r="E35" t="s">
        <v>5261</v>
      </c>
      <c r="G35" t="s">
        <v>1454</v>
      </c>
      <c r="H35">
        <v>1312.5</v>
      </c>
    </row>
    <row r="36" spans="5:8" x14ac:dyDescent="0.25">
      <c r="E36" t="s">
        <v>5261</v>
      </c>
      <c r="G36" t="s">
        <v>1454</v>
      </c>
      <c r="H36">
        <v>2362.5</v>
      </c>
    </row>
    <row r="37" spans="5:8" x14ac:dyDescent="0.25">
      <c r="E37" t="s">
        <v>5261</v>
      </c>
      <c r="G37" t="s">
        <v>1454</v>
      </c>
      <c r="H37">
        <v>162.69</v>
      </c>
    </row>
    <row r="38" spans="5:8" x14ac:dyDescent="0.25">
      <c r="E38" t="s">
        <v>5261</v>
      </c>
      <c r="G38" t="s">
        <v>1454</v>
      </c>
      <c r="H38">
        <v>2362.5</v>
      </c>
    </row>
    <row r="39" spans="5:8" x14ac:dyDescent="0.25">
      <c r="E39" t="s">
        <v>5261</v>
      </c>
      <c r="G39" t="s">
        <v>1454</v>
      </c>
      <c r="H39">
        <v>2362.5</v>
      </c>
    </row>
    <row r="40" spans="5:8" x14ac:dyDescent="0.25">
      <c r="E40" t="s">
        <v>5261</v>
      </c>
      <c r="G40" t="s">
        <v>1454</v>
      </c>
      <c r="H40">
        <v>1312.5</v>
      </c>
    </row>
    <row r="41" spans="5:8" x14ac:dyDescent="0.25">
      <c r="E41" t="s">
        <v>5264</v>
      </c>
      <c r="G41" t="s">
        <v>1454</v>
      </c>
      <c r="H41">
        <v>3.5058017241379309</v>
      </c>
    </row>
    <row r="42" spans="5:8" x14ac:dyDescent="0.25">
      <c r="E42" t="s">
        <v>5264</v>
      </c>
      <c r="G42" t="s">
        <v>1454</v>
      </c>
      <c r="H42">
        <v>457.18749999999994</v>
      </c>
    </row>
    <row r="43" spans="5:8" x14ac:dyDescent="0.25">
      <c r="E43" t="s">
        <v>5264</v>
      </c>
      <c r="G43" t="s">
        <v>1454</v>
      </c>
      <c r="H43">
        <v>325.9375</v>
      </c>
    </row>
    <row r="44" spans="5:8" x14ac:dyDescent="0.25">
      <c r="E44" t="s">
        <v>5264</v>
      </c>
      <c r="G44" t="s">
        <v>1454</v>
      </c>
      <c r="H44">
        <v>457.18749999999994</v>
      </c>
    </row>
    <row r="45" spans="5:8" x14ac:dyDescent="0.25">
      <c r="E45" t="s">
        <v>5264</v>
      </c>
      <c r="G45" t="s">
        <v>1454</v>
      </c>
      <c r="H45">
        <v>11.9</v>
      </c>
    </row>
    <row r="46" spans="5:8" x14ac:dyDescent="0.25">
      <c r="E46" t="s">
        <v>5264</v>
      </c>
      <c r="G46" t="s">
        <v>1454</v>
      </c>
      <c r="H46">
        <v>435.31249999999994</v>
      </c>
    </row>
    <row r="47" spans="5:8" x14ac:dyDescent="0.25">
      <c r="E47" t="s">
        <v>5264</v>
      </c>
      <c r="G47" t="s">
        <v>1454</v>
      </c>
      <c r="H47">
        <v>457.18749999999994</v>
      </c>
    </row>
    <row r="48" spans="5:8" x14ac:dyDescent="0.25">
      <c r="E48" t="s">
        <v>5264</v>
      </c>
      <c r="G48" t="s">
        <v>1454</v>
      </c>
      <c r="H48">
        <v>325.9375</v>
      </c>
    </row>
    <row r="49" spans="5:8" x14ac:dyDescent="0.25">
      <c r="E49" t="s">
        <v>5264</v>
      </c>
      <c r="G49" t="s">
        <v>1454</v>
      </c>
      <c r="H49">
        <v>610.31249999999989</v>
      </c>
    </row>
    <row r="50" spans="5:8" x14ac:dyDescent="0.25">
      <c r="E50" t="s">
        <v>5264</v>
      </c>
      <c r="G50" t="s">
        <v>1454</v>
      </c>
      <c r="H50">
        <v>105.77365588235293</v>
      </c>
    </row>
    <row r="51" spans="5:8" x14ac:dyDescent="0.25">
      <c r="E51" t="s">
        <v>5264</v>
      </c>
      <c r="G51" t="s">
        <v>1454</v>
      </c>
      <c r="H51">
        <v>465.9375</v>
      </c>
    </row>
    <row r="52" spans="5:8" x14ac:dyDescent="0.25">
      <c r="E52" t="s">
        <v>5264</v>
      </c>
      <c r="G52" t="s">
        <v>1454</v>
      </c>
      <c r="H52">
        <v>479.06249999999989</v>
      </c>
    </row>
    <row r="53" spans="5:8" x14ac:dyDescent="0.25">
      <c r="E53" t="s">
        <v>5264</v>
      </c>
      <c r="G53" t="s">
        <v>1454</v>
      </c>
      <c r="H53">
        <v>347.8125</v>
      </c>
    </row>
    <row r="54" spans="5:8" x14ac:dyDescent="0.25">
      <c r="E54" t="s">
        <v>5264</v>
      </c>
      <c r="G54" t="s">
        <v>1454</v>
      </c>
      <c r="H54">
        <v>5.2587025862068959</v>
      </c>
    </row>
    <row r="55" spans="5:8" x14ac:dyDescent="0.25">
      <c r="E55" t="s">
        <v>5264</v>
      </c>
      <c r="G55" t="s">
        <v>1454</v>
      </c>
      <c r="H55">
        <v>378.43749999999994</v>
      </c>
    </row>
    <row r="56" spans="5:8" x14ac:dyDescent="0.25">
      <c r="E56" t="s">
        <v>5264</v>
      </c>
      <c r="G56" t="s">
        <v>1454</v>
      </c>
      <c r="H56">
        <v>13.132999999999999</v>
      </c>
    </row>
    <row r="57" spans="5:8" x14ac:dyDescent="0.25">
      <c r="E57" t="s">
        <v>5264</v>
      </c>
      <c r="G57" t="s">
        <v>1454</v>
      </c>
      <c r="H57">
        <v>325.9375</v>
      </c>
    </row>
    <row r="58" spans="5:8" x14ac:dyDescent="0.25">
      <c r="E58" t="s">
        <v>5265</v>
      </c>
      <c r="G58" t="s">
        <v>267</v>
      </c>
      <c r="H58">
        <v>87.276785714285708</v>
      </c>
    </row>
    <row r="59" spans="5:8" x14ac:dyDescent="0.25">
      <c r="E59" t="s">
        <v>5265</v>
      </c>
      <c r="G59" t="s">
        <v>267</v>
      </c>
      <c r="H59">
        <v>238.21</v>
      </c>
    </row>
    <row r="60" spans="5:8" x14ac:dyDescent="0.25">
      <c r="E60" t="s">
        <v>5265</v>
      </c>
      <c r="G60" t="s">
        <v>633</v>
      </c>
      <c r="H60">
        <v>1.4834999999999998</v>
      </c>
    </row>
    <row r="61" spans="5:8" x14ac:dyDescent="0.25">
      <c r="E61" t="s">
        <v>5265</v>
      </c>
      <c r="G61" t="s">
        <v>633</v>
      </c>
      <c r="H61">
        <v>138.62100000000001</v>
      </c>
    </row>
    <row r="62" spans="5:8" x14ac:dyDescent="0.25">
      <c r="E62" t="s">
        <v>5265</v>
      </c>
      <c r="G62" t="s">
        <v>633</v>
      </c>
      <c r="H62">
        <v>10.787000000000001</v>
      </c>
    </row>
    <row r="63" spans="5:8" x14ac:dyDescent="0.25">
      <c r="E63" t="s">
        <v>5262</v>
      </c>
      <c r="G63" t="s">
        <v>1454</v>
      </c>
      <c r="H63">
        <v>3.5058017241379309</v>
      </c>
    </row>
    <row r="64" spans="5:8" x14ac:dyDescent="0.25">
      <c r="E64" t="s">
        <v>5262</v>
      </c>
      <c r="G64" t="s">
        <v>1454</v>
      </c>
      <c r="H64">
        <v>325.9375</v>
      </c>
    </row>
    <row r="65" spans="2:8" x14ac:dyDescent="0.25">
      <c r="E65" t="s">
        <v>5262</v>
      </c>
      <c r="G65" t="s">
        <v>1454</v>
      </c>
      <c r="H65">
        <v>105.77365588235293</v>
      </c>
    </row>
    <row r="70" spans="2:8" x14ac:dyDescent="0.25">
      <c r="B70" t="s">
        <v>5258</v>
      </c>
    </row>
    <row r="74" spans="2:8" x14ac:dyDescent="0.25">
      <c r="B74" t="s">
        <v>5259</v>
      </c>
    </row>
    <row r="77" spans="2:8" ht="31.5" x14ac:dyDescent="0.5">
      <c r="F77" s="45" t="s">
        <v>5257</v>
      </c>
      <c r="G77" s="45"/>
      <c r="H77" s="47">
        <v>11.42</v>
      </c>
    </row>
    <row r="79" spans="2:8" x14ac:dyDescent="0.25">
      <c r="H79" s="46">
        <f>H75-H77</f>
        <v>-11.42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D177-DF6A-453B-ACF8-3CBC04E310CA}">
  <sheetPr codeName="Sheet4"/>
  <dimension ref="A1:D2644"/>
  <sheetViews>
    <sheetView workbookViewId="0">
      <selection activeCell="E20" sqref="E20"/>
    </sheetView>
  </sheetViews>
  <sheetFormatPr defaultRowHeight="15" x14ac:dyDescent="0.25"/>
  <cols>
    <col min="2" max="2" width="13.140625" customWidth="1"/>
    <col min="3" max="3" width="58.7109375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6</v>
      </c>
    </row>
    <row r="2" spans="1:4" x14ac:dyDescent="0.25">
      <c r="A2" t="s">
        <v>21</v>
      </c>
      <c r="B2" t="s">
        <v>22</v>
      </c>
      <c r="C2" t="s">
        <v>23</v>
      </c>
      <c r="D2" t="s">
        <v>24</v>
      </c>
    </row>
    <row r="3" spans="1:4" x14ac:dyDescent="0.25">
      <c r="A3" t="s">
        <v>25</v>
      </c>
      <c r="B3" t="s">
        <v>22</v>
      </c>
      <c r="C3" t="s">
        <v>26</v>
      </c>
      <c r="D3" t="s">
        <v>16</v>
      </c>
    </row>
    <row r="4" spans="1:4" x14ac:dyDescent="0.25">
      <c r="A4" t="s">
        <v>27</v>
      </c>
      <c r="B4" t="s">
        <v>22</v>
      </c>
      <c r="C4" t="s">
        <v>28</v>
      </c>
      <c r="D4" t="s">
        <v>7</v>
      </c>
    </row>
    <row r="5" spans="1:4" x14ac:dyDescent="0.25">
      <c r="A5" t="s">
        <v>29</v>
      </c>
      <c r="B5" t="s">
        <v>22</v>
      </c>
      <c r="C5" t="s">
        <v>30</v>
      </c>
      <c r="D5" t="s">
        <v>16</v>
      </c>
    </row>
    <row r="6" spans="1:4" x14ac:dyDescent="0.25">
      <c r="A6" t="s">
        <v>31</v>
      </c>
      <c r="B6" t="s">
        <v>22</v>
      </c>
      <c r="C6" t="s">
        <v>32</v>
      </c>
      <c r="D6" t="s">
        <v>33</v>
      </c>
    </row>
    <row r="7" spans="1:4" x14ac:dyDescent="0.25">
      <c r="A7" t="s">
        <v>34</v>
      </c>
      <c r="B7" t="s">
        <v>22</v>
      </c>
      <c r="C7" t="s">
        <v>35</v>
      </c>
      <c r="D7" t="s">
        <v>7</v>
      </c>
    </row>
    <row r="8" spans="1:4" x14ac:dyDescent="0.25">
      <c r="A8" t="s">
        <v>36</v>
      </c>
      <c r="B8" t="s">
        <v>22</v>
      </c>
      <c r="C8" t="s">
        <v>37</v>
      </c>
      <c r="D8" t="s">
        <v>7</v>
      </c>
    </row>
    <row r="9" spans="1:4" x14ac:dyDescent="0.25">
      <c r="A9" t="s">
        <v>38</v>
      </c>
      <c r="B9" t="s">
        <v>22</v>
      </c>
      <c r="C9" t="s">
        <v>39</v>
      </c>
      <c r="D9" t="s">
        <v>16</v>
      </c>
    </row>
    <row r="10" spans="1:4" x14ac:dyDescent="0.25">
      <c r="A10" t="s">
        <v>40</v>
      </c>
      <c r="B10" t="s">
        <v>22</v>
      </c>
      <c r="C10" t="s">
        <v>41</v>
      </c>
      <c r="D10" t="s">
        <v>16</v>
      </c>
    </row>
    <row r="11" spans="1:4" x14ac:dyDescent="0.25">
      <c r="A11" t="s">
        <v>42</v>
      </c>
      <c r="B11" t="s">
        <v>43</v>
      </c>
      <c r="C11" t="s">
        <v>44</v>
      </c>
      <c r="D11" t="s">
        <v>45</v>
      </c>
    </row>
    <row r="12" spans="1:4" x14ac:dyDescent="0.25">
      <c r="A12" t="s">
        <v>46</v>
      </c>
      <c r="B12" t="s">
        <v>22</v>
      </c>
      <c r="C12" t="s">
        <v>47</v>
      </c>
      <c r="D12" t="s">
        <v>7</v>
      </c>
    </row>
    <row r="13" spans="1:4" x14ac:dyDescent="0.25">
      <c r="A13" t="s">
        <v>48</v>
      </c>
      <c r="B13" t="s">
        <v>22</v>
      </c>
      <c r="C13" t="s">
        <v>49</v>
      </c>
      <c r="D13" t="s">
        <v>50</v>
      </c>
    </row>
    <row r="14" spans="1:4" x14ac:dyDescent="0.25">
      <c r="A14" t="s">
        <v>51</v>
      </c>
      <c r="B14" t="s">
        <v>22</v>
      </c>
      <c r="C14" t="s">
        <v>52</v>
      </c>
      <c r="D14" t="s">
        <v>50</v>
      </c>
    </row>
    <row r="15" spans="1:4" x14ac:dyDescent="0.25">
      <c r="A15" t="s">
        <v>53</v>
      </c>
      <c r="B15" t="s">
        <v>22</v>
      </c>
      <c r="C15" t="s">
        <v>54</v>
      </c>
      <c r="D15" t="s">
        <v>50</v>
      </c>
    </row>
    <row r="16" spans="1:4" x14ac:dyDescent="0.25">
      <c r="A16" t="s">
        <v>55</v>
      </c>
      <c r="B16" t="s">
        <v>22</v>
      </c>
      <c r="C16" t="s">
        <v>56</v>
      </c>
      <c r="D16" t="s">
        <v>16</v>
      </c>
    </row>
    <row r="17" spans="1:4" x14ac:dyDescent="0.25">
      <c r="A17" t="s">
        <v>57</v>
      </c>
      <c r="B17" t="s">
        <v>22</v>
      </c>
      <c r="C17" t="s">
        <v>58</v>
      </c>
      <c r="D17" t="s">
        <v>16</v>
      </c>
    </row>
    <row r="18" spans="1:4" x14ac:dyDescent="0.25">
      <c r="A18" t="s">
        <v>59</v>
      </c>
      <c r="B18" t="s">
        <v>22</v>
      </c>
      <c r="C18" t="s">
        <v>60</v>
      </c>
      <c r="D18" t="s">
        <v>16</v>
      </c>
    </row>
    <row r="19" spans="1:4" x14ac:dyDescent="0.25">
      <c r="A19" t="s">
        <v>61</v>
      </c>
      <c r="B19" t="s">
        <v>22</v>
      </c>
      <c r="C19" t="s">
        <v>62</v>
      </c>
      <c r="D19" t="s">
        <v>16</v>
      </c>
    </row>
    <row r="20" spans="1:4" x14ac:dyDescent="0.25">
      <c r="A20" t="s">
        <v>63</v>
      </c>
      <c r="B20" t="s">
        <v>22</v>
      </c>
      <c r="C20" t="s">
        <v>64</v>
      </c>
      <c r="D20" t="s">
        <v>65</v>
      </c>
    </row>
    <row r="21" spans="1:4" x14ac:dyDescent="0.25">
      <c r="A21" t="s">
        <v>66</v>
      </c>
      <c r="B21" t="s">
        <v>22</v>
      </c>
      <c r="C21" t="s">
        <v>67</v>
      </c>
      <c r="D21" t="s">
        <v>16</v>
      </c>
    </row>
    <row r="22" spans="1:4" x14ac:dyDescent="0.25">
      <c r="A22" t="s">
        <v>68</v>
      </c>
      <c r="B22" t="s">
        <v>22</v>
      </c>
      <c r="C22" t="s">
        <v>69</v>
      </c>
      <c r="D22" t="s">
        <v>16</v>
      </c>
    </row>
    <row r="23" spans="1:4" x14ac:dyDescent="0.25">
      <c r="A23" t="s">
        <v>70</v>
      </c>
      <c r="B23" t="s">
        <v>22</v>
      </c>
      <c r="C23" t="s">
        <v>71</v>
      </c>
      <c r="D23" t="s">
        <v>16</v>
      </c>
    </row>
    <row r="24" spans="1:4" x14ac:dyDescent="0.25">
      <c r="A24" t="s">
        <v>72</v>
      </c>
      <c r="B24" t="s">
        <v>22</v>
      </c>
      <c r="C24" t="s">
        <v>73</v>
      </c>
      <c r="D24" t="s">
        <v>7</v>
      </c>
    </row>
    <row r="25" spans="1:4" x14ac:dyDescent="0.25">
      <c r="A25" t="s">
        <v>74</v>
      </c>
      <c r="B25" t="s">
        <v>22</v>
      </c>
      <c r="C25" t="s">
        <v>75</v>
      </c>
      <c r="D25" t="s">
        <v>16</v>
      </c>
    </row>
    <row r="26" spans="1:4" x14ac:dyDescent="0.25">
      <c r="A26" t="s">
        <v>76</v>
      </c>
      <c r="B26" t="s">
        <v>22</v>
      </c>
      <c r="C26" t="s">
        <v>77</v>
      </c>
      <c r="D26" t="s">
        <v>16</v>
      </c>
    </row>
    <row r="27" spans="1:4" x14ac:dyDescent="0.25">
      <c r="A27" t="s">
        <v>78</v>
      </c>
      <c r="B27" t="s">
        <v>22</v>
      </c>
      <c r="C27" t="s">
        <v>79</v>
      </c>
      <c r="D27" t="s">
        <v>16</v>
      </c>
    </row>
    <row r="28" spans="1:4" x14ac:dyDescent="0.25">
      <c r="A28" t="s">
        <v>80</v>
      </c>
      <c r="B28" t="s">
        <v>22</v>
      </c>
      <c r="C28" t="s">
        <v>81</v>
      </c>
      <c r="D28" t="s">
        <v>50</v>
      </c>
    </row>
    <row r="29" spans="1:4" x14ac:dyDescent="0.25">
      <c r="A29" t="s">
        <v>82</v>
      </c>
      <c r="B29" t="s">
        <v>22</v>
      </c>
      <c r="C29" t="s">
        <v>83</v>
      </c>
      <c r="D29" t="s">
        <v>16</v>
      </c>
    </row>
    <row r="30" spans="1:4" x14ac:dyDescent="0.25">
      <c r="A30" t="s">
        <v>84</v>
      </c>
      <c r="B30" t="s">
        <v>22</v>
      </c>
      <c r="C30" t="s">
        <v>85</v>
      </c>
      <c r="D30" t="s">
        <v>16</v>
      </c>
    </row>
    <row r="31" spans="1:4" x14ac:dyDescent="0.25">
      <c r="A31" t="s">
        <v>86</v>
      </c>
      <c r="B31" t="s">
        <v>22</v>
      </c>
      <c r="C31" t="s">
        <v>87</v>
      </c>
      <c r="D31" t="s">
        <v>16</v>
      </c>
    </row>
    <row r="32" spans="1:4" x14ac:dyDescent="0.25">
      <c r="A32" t="s">
        <v>88</v>
      </c>
      <c r="B32" t="s">
        <v>22</v>
      </c>
      <c r="C32" t="s">
        <v>89</v>
      </c>
      <c r="D32" t="s">
        <v>16</v>
      </c>
    </row>
    <row r="33" spans="1:4" x14ac:dyDescent="0.25">
      <c r="A33" t="s">
        <v>90</v>
      </c>
      <c r="B33" t="s">
        <v>22</v>
      </c>
      <c r="C33" t="s">
        <v>91</v>
      </c>
      <c r="D33" t="s">
        <v>50</v>
      </c>
    </row>
    <row r="34" spans="1:4" x14ac:dyDescent="0.25">
      <c r="A34" t="s">
        <v>92</v>
      </c>
      <c r="B34" t="s">
        <v>22</v>
      </c>
      <c r="C34" t="s">
        <v>93</v>
      </c>
      <c r="D34" t="s">
        <v>50</v>
      </c>
    </row>
    <row r="35" spans="1:4" x14ac:dyDescent="0.25">
      <c r="A35" t="s">
        <v>94</v>
      </c>
      <c r="B35" t="s">
        <v>22</v>
      </c>
      <c r="C35" t="s">
        <v>95</v>
      </c>
      <c r="D35" t="s">
        <v>7</v>
      </c>
    </row>
    <row r="36" spans="1:4" x14ac:dyDescent="0.25">
      <c r="A36" t="s">
        <v>96</v>
      </c>
      <c r="B36" t="s">
        <v>22</v>
      </c>
      <c r="C36" t="s">
        <v>97</v>
      </c>
      <c r="D36" t="s">
        <v>16</v>
      </c>
    </row>
    <row r="37" spans="1:4" x14ac:dyDescent="0.25">
      <c r="A37" t="s">
        <v>98</v>
      </c>
      <c r="B37" t="s">
        <v>22</v>
      </c>
      <c r="C37" t="s">
        <v>99</v>
      </c>
      <c r="D37" t="s">
        <v>16</v>
      </c>
    </row>
    <row r="38" spans="1:4" x14ac:dyDescent="0.25">
      <c r="A38" t="s">
        <v>100</v>
      </c>
      <c r="B38" t="s">
        <v>22</v>
      </c>
      <c r="C38" t="s">
        <v>101</v>
      </c>
      <c r="D38" t="s">
        <v>16</v>
      </c>
    </row>
    <row r="39" spans="1:4" x14ac:dyDescent="0.25">
      <c r="A39" t="s">
        <v>102</v>
      </c>
      <c r="B39" t="s">
        <v>22</v>
      </c>
      <c r="C39" t="s">
        <v>103</v>
      </c>
      <c r="D39" t="s">
        <v>16</v>
      </c>
    </row>
    <row r="40" spans="1:4" x14ac:dyDescent="0.25">
      <c r="A40" t="s">
        <v>104</v>
      </c>
      <c r="B40" t="s">
        <v>22</v>
      </c>
      <c r="C40" t="s">
        <v>105</v>
      </c>
      <c r="D40" t="s">
        <v>106</v>
      </c>
    </row>
    <row r="41" spans="1:4" x14ac:dyDescent="0.25">
      <c r="A41" t="s">
        <v>107</v>
      </c>
      <c r="B41" t="s">
        <v>22</v>
      </c>
      <c r="C41" t="s">
        <v>108</v>
      </c>
      <c r="D41" t="s">
        <v>16</v>
      </c>
    </row>
    <row r="42" spans="1:4" x14ac:dyDescent="0.25">
      <c r="A42" t="s">
        <v>109</v>
      </c>
      <c r="B42" t="s">
        <v>22</v>
      </c>
      <c r="C42" t="s">
        <v>110</v>
      </c>
      <c r="D42" t="s">
        <v>50</v>
      </c>
    </row>
    <row r="43" spans="1:4" x14ac:dyDescent="0.25">
      <c r="A43" t="s">
        <v>111</v>
      </c>
      <c r="B43" t="s">
        <v>22</v>
      </c>
      <c r="C43" t="s">
        <v>112</v>
      </c>
      <c r="D43" t="s">
        <v>16</v>
      </c>
    </row>
    <row r="44" spans="1:4" x14ac:dyDescent="0.25">
      <c r="A44" t="s">
        <v>113</v>
      </c>
      <c r="B44" t="s">
        <v>22</v>
      </c>
      <c r="C44" t="s">
        <v>114</v>
      </c>
      <c r="D44" t="s">
        <v>16</v>
      </c>
    </row>
    <row r="45" spans="1:4" x14ac:dyDescent="0.25">
      <c r="A45" t="s">
        <v>115</v>
      </c>
      <c r="B45" t="s">
        <v>22</v>
      </c>
      <c r="C45" t="s">
        <v>116</v>
      </c>
      <c r="D45" t="s">
        <v>7</v>
      </c>
    </row>
    <row r="46" spans="1:4" x14ac:dyDescent="0.25">
      <c r="A46" t="s">
        <v>117</v>
      </c>
      <c r="B46" t="s">
        <v>22</v>
      </c>
      <c r="C46" t="s">
        <v>118</v>
      </c>
      <c r="D46" t="s">
        <v>16</v>
      </c>
    </row>
    <row r="47" spans="1:4" x14ac:dyDescent="0.25">
      <c r="A47" t="s">
        <v>119</v>
      </c>
      <c r="B47" t="s">
        <v>22</v>
      </c>
      <c r="C47" t="s">
        <v>120</v>
      </c>
      <c r="D47" t="s">
        <v>16</v>
      </c>
    </row>
    <row r="48" spans="1:4" x14ac:dyDescent="0.25">
      <c r="A48" t="s">
        <v>121</v>
      </c>
      <c r="B48" t="s">
        <v>22</v>
      </c>
      <c r="C48" t="s">
        <v>122</v>
      </c>
      <c r="D48" t="s">
        <v>16</v>
      </c>
    </row>
    <row r="49" spans="1:4" x14ac:dyDescent="0.25">
      <c r="A49" t="s">
        <v>123</v>
      </c>
      <c r="B49" t="s">
        <v>22</v>
      </c>
      <c r="C49" t="s">
        <v>124</v>
      </c>
      <c r="D49" t="s">
        <v>16</v>
      </c>
    </row>
    <row r="50" spans="1:4" x14ac:dyDescent="0.25">
      <c r="A50" t="s">
        <v>125</v>
      </c>
      <c r="B50" t="s">
        <v>22</v>
      </c>
      <c r="C50" t="s">
        <v>126</v>
      </c>
      <c r="D50" t="s">
        <v>16</v>
      </c>
    </row>
    <row r="51" spans="1:4" x14ac:dyDescent="0.25">
      <c r="A51" t="s">
        <v>127</v>
      </c>
      <c r="B51" t="s">
        <v>22</v>
      </c>
      <c r="C51" t="s">
        <v>128</v>
      </c>
      <c r="D51" t="s">
        <v>16</v>
      </c>
    </row>
    <row r="52" spans="1:4" x14ac:dyDescent="0.25">
      <c r="A52" t="s">
        <v>129</v>
      </c>
      <c r="B52" t="s">
        <v>22</v>
      </c>
      <c r="C52" t="s">
        <v>130</v>
      </c>
      <c r="D52" t="s">
        <v>131</v>
      </c>
    </row>
    <row r="53" spans="1:4" x14ac:dyDescent="0.25">
      <c r="A53" t="s">
        <v>132</v>
      </c>
      <c r="B53" t="s">
        <v>22</v>
      </c>
      <c r="C53" t="s">
        <v>133</v>
      </c>
      <c r="D53" t="s">
        <v>106</v>
      </c>
    </row>
    <row r="54" spans="1:4" x14ac:dyDescent="0.25">
      <c r="A54" t="s">
        <v>134</v>
      </c>
      <c r="B54" t="s">
        <v>22</v>
      </c>
      <c r="C54" t="s">
        <v>135</v>
      </c>
      <c r="D54" t="s">
        <v>136</v>
      </c>
    </row>
    <row r="55" spans="1:4" x14ac:dyDescent="0.25">
      <c r="A55" t="s">
        <v>137</v>
      </c>
      <c r="B55" t="s">
        <v>22</v>
      </c>
      <c r="C55" t="s">
        <v>138</v>
      </c>
      <c r="D55" t="s">
        <v>16</v>
      </c>
    </row>
    <row r="56" spans="1:4" x14ac:dyDescent="0.25">
      <c r="A56" t="s">
        <v>139</v>
      </c>
      <c r="B56" t="s">
        <v>22</v>
      </c>
      <c r="C56" t="s">
        <v>140</v>
      </c>
      <c r="D56" t="s">
        <v>16</v>
      </c>
    </row>
    <row r="57" spans="1:4" x14ac:dyDescent="0.25">
      <c r="A57" t="s">
        <v>141</v>
      </c>
      <c r="B57" t="s">
        <v>22</v>
      </c>
      <c r="C57" t="s">
        <v>142</v>
      </c>
      <c r="D57" t="s">
        <v>16</v>
      </c>
    </row>
    <row r="58" spans="1:4" x14ac:dyDescent="0.25">
      <c r="A58" t="s">
        <v>143</v>
      </c>
      <c r="B58" t="s">
        <v>22</v>
      </c>
      <c r="C58" t="s">
        <v>144</v>
      </c>
      <c r="D58" t="s">
        <v>50</v>
      </c>
    </row>
    <row r="59" spans="1:4" x14ac:dyDescent="0.25">
      <c r="A59" t="s">
        <v>145</v>
      </c>
      <c r="B59" t="s">
        <v>22</v>
      </c>
      <c r="C59" t="s">
        <v>146</v>
      </c>
      <c r="D59" t="s">
        <v>106</v>
      </c>
    </row>
    <row r="60" spans="1:4" x14ac:dyDescent="0.25">
      <c r="A60" t="s">
        <v>147</v>
      </c>
      <c r="B60" t="s">
        <v>22</v>
      </c>
      <c r="C60" t="s">
        <v>148</v>
      </c>
      <c r="D60" t="s">
        <v>16</v>
      </c>
    </row>
    <row r="61" spans="1:4" x14ac:dyDescent="0.25">
      <c r="A61" t="s">
        <v>149</v>
      </c>
      <c r="B61" t="s">
        <v>22</v>
      </c>
      <c r="C61" t="s">
        <v>150</v>
      </c>
      <c r="D61" t="s">
        <v>106</v>
      </c>
    </row>
    <row r="62" spans="1:4" x14ac:dyDescent="0.25">
      <c r="A62" t="s">
        <v>151</v>
      </c>
      <c r="B62" t="s">
        <v>22</v>
      </c>
      <c r="C62" t="s">
        <v>152</v>
      </c>
      <c r="D62" t="s">
        <v>16</v>
      </c>
    </row>
    <row r="63" spans="1:4" x14ac:dyDescent="0.25">
      <c r="A63" t="s">
        <v>153</v>
      </c>
      <c r="B63" t="s">
        <v>22</v>
      </c>
      <c r="C63" t="s">
        <v>154</v>
      </c>
      <c r="D63" t="s">
        <v>16</v>
      </c>
    </row>
    <row r="64" spans="1:4" x14ac:dyDescent="0.25">
      <c r="A64" t="s">
        <v>155</v>
      </c>
      <c r="B64" t="s">
        <v>22</v>
      </c>
      <c r="C64" t="s">
        <v>156</v>
      </c>
      <c r="D64" t="s">
        <v>16</v>
      </c>
    </row>
    <row r="65" spans="1:4" x14ac:dyDescent="0.25">
      <c r="A65" t="s">
        <v>157</v>
      </c>
      <c r="B65" t="s">
        <v>22</v>
      </c>
      <c r="C65" t="s">
        <v>158</v>
      </c>
      <c r="D65" t="s">
        <v>16</v>
      </c>
    </row>
    <row r="66" spans="1:4" x14ac:dyDescent="0.25">
      <c r="A66" t="s">
        <v>159</v>
      </c>
      <c r="B66" t="s">
        <v>22</v>
      </c>
      <c r="C66" t="s">
        <v>160</v>
      </c>
      <c r="D66" t="s">
        <v>7</v>
      </c>
    </row>
    <row r="67" spans="1:4" x14ac:dyDescent="0.25">
      <c r="A67" t="s">
        <v>161</v>
      </c>
      <c r="B67" t="s">
        <v>22</v>
      </c>
      <c r="C67" t="s">
        <v>162</v>
      </c>
      <c r="D67" t="s">
        <v>7</v>
      </c>
    </row>
    <row r="68" spans="1:4" x14ac:dyDescent="0.25">
      <c r="A68" t="s">
        <v>163</v>
      </c>
      <c r="B68" t="s">
        <v>22</v>
      </c>
      <c r="C68" t="s">
        <v>164</v>
      </c>
      <c r="D68" t="s">
        <v>16</v>
      </c>
    </row>
    <row r="69" spans="1:4" x14ac:dyDescent="0.25">
      <c r="A69" t="s">
        <v>165</v>
      </c>
      <c r="B69" t="s">
        <v>22</v>
      </c>
      <c r="C69" t="s">
        <v>166</v>
      </c>
      <c r="D69" t="s">
        <v>16</v>
      </c>
    </row>
    <row r="70" spans="1:4" x14ac:dyDescent="0.25">
      <c r="A70" t="s">
        <v>167</v>
      </c>
      <c r="B70" t="s">
        <v>22</v>
      </c>
      <c r="C70" t="s">
        <v>168</v>
      </c>
      <c r="D70" t="s">
        <v>16</v>
      </c>
    </row>
    <row r="71" spans="1:4" x14ac:dyDescent="0.25">
      <c r="A71" t="s">
        <v>169</v>
      </c>
      <c r="B71" t="s">
        <v>22</v>
      </c>
      <c r="C71" t="s">
        <v>170</v>
      </c>
      <c r="D71" t="s">
        <v>24</v>
      </c>
    </row>
    <row r="72" spans="1:4" x14ac:dyDescent="0.25">
      <c r="A72" t="s">
        <v>171</v>
      </c>
      <c r="B72" t="s">
        <v>22</v>
      </c>
      <c r="C72" t="s">
        <v>172</v>
      </c>
      <c r="D72" t="s">
        <v>17</v>
      </c>
    </row>
    <row r="73" spans="1:4" x14ac:dyDescent="0.25">
      <c r="A73" t="s">
        <v>173</v>
      </c>
      <c r="B73" t="s">
        <v>22</v>
      </c>
      <c r="C73" t="s">
        <v>174</v>
      </c>
      <c r="D73" t="s">
        <v>24</v>
      </c>
    </row>
    <row r="74" spans="1:4" x14ac:dyDescent="0.25">
      <c r="A74" t="s">
        <v>175</v>
      </c>
      <c r="B74" t="s">
        <v>22</v>
      </c>
      <c r="C74" t="s">
        <v>176</v>
      </c>
      <c r="D74" t="s">
        <v>16</v>
      </c>
    </row>
    <row r="75" spans="1:4" x14ac:dyDescent="0.25">
      <c r="A75" t="s">
        <v>177</v>
      </c>
      <c r="B75" t="s">
        <v>22</v>
      </c>
      <c r="C75" t="s">
        <v>178</v>
      </c>
      <c r="D75" t="s">
        <v>7</v>
      </c>
    </row>
    <row r="76" spans="1:4" x14ac:dyDescent="0.25">
      <c r="A76" t="s">
        <v>179</v>
      </c>
      <c r="B76" t="s">
        <v>22</v>
      </c>
      <c r="C76" t="s">
        <v>180</v>
      </c>
      <c r="D76" t="s">
        <v>16</v>
      </c>
    </row>
    <row r="77" spans="1:4" x14ac:dyDescent="0.25">
      <c r="A77" t="s">
        <v>181</v>
      </c>
      <c r="B77" t="s">
        <v>22</v>
      </c>
      <c r="C77" t="s">
        <v>182</v>
      </c>
      <c r="D77" t="s">
        <v>16</v>
      </c>
    </row>
    <row r="78" spans="1:4" x14ac:dyDescent="0.25">
      <c r="A78" t="s">
        <v>183</v>
      </c>
      <c r="B78" t="s">
        <v>22</v>
      </c>
      <c r="C78" t="s">
        <v>184</v>
      </c>
      <c r="D78" t="s">
        <v>16</v>
      </c>
    </row>
    <row r="79" spans="1:4" x14ac:dyDescent="0.25">
      <c r="A79" t="s">
        <v>185</v>
      </c>
      <c r="B79" t="s">
        <v>22</v>
      </c>
      <c r="C79" t="s">
        <v>186</v>
      </c>
      <c r="D79" t="s">
        <v>16</v>
      </c>
    </row>
    <row r="80" spans="1:4" x14ac:dyDescent="0.25">
      <c r="A80" t="s">
        <v>187</v>
      </c>
      <c r="B80" t="s">
        <v>22</v>
      </c>
      <c r="C80" t="s">
        <v>188</v>
      </c>
      <c r="D80" t="s">
        <v>16</v>
      </c>
    </row>
    <row r="81" spans="1:4" x14ac:dyDescent="0.25">
      <c r="A81" t="s">
        <v>189</v>
      </c>
      <c r="B81" t="s">
        <v>22</v>
      </c>
      <c r="C81" t="s">
        <v>190</v>
      </c>
      <c r="D81" t="s">
        <v>16</v>
      </c>
    </row>
    <row r="82" spans="1:4" x14ac:dyDescent="0.25">
      <c r="A82" t="s">
        <v>191</v>
      </c>
      <c r="B82" t="s">
        <v>22</v>
      </c>
      <c r="C82" t="s">
        <v>192</v>
      </c>
      <c r="D82" t="s">
        <v>16</v>
      </c>
    </row>
    <row r="83" spans="1:4" x14ac:dyDescent="0.25">
      <c r="A83" t="s">
        <v>193</v>
      </c>
      <c r="B83" t="s">
        <v>22</v>
      </c>
      <c r="C83" t="s">
        <v>194</v>
      </c>
      <c r="D83" t="s">
        <v>16</v>
      </c>
    </row>
    <row r="84" spans="1:4" x14ac:dyDescent="0.25">
      <c r="A84" t="s">
        <v>195</v>
      </c>
      <c r="B84" t="s">
        <v>22</v>
      </c>
      <c r="C84" t="s">
        <v>196</v>
      </c>
      <c r="D84" t="s">
        <v>16</v>
      </c>
    </row>
    <row r="85" spans="1:4" x14ac:dyDescent="0.25">
      <c r="A85" t="s">
        <v>197</v>
      </c>
      <c r="B85" t="s">
        <v>22</v>
      </c>
      <c r="C85" t="s">
        <v>198</v>
      </c>
      <c r="D85" t="s">
        <v>16</v>
      </c>
    </row>
    <row r="86" spans="1:4" x14ac:dyDescent="0.25">
      <c r="A86" t="s">
        <v>199</v>
      </c>
      <c r="B86" t="s">
        <v>22</v>
      </c>
      <c r="C86" t="s">
        <v>200</v>
      </c>
      <c r="D86" t="s">
        <v>16</v>
      </c>
    </row>
    <row r="87" spans="1:4" x14ac:dyDescent="0.25">
      <c r="A87" t="s">
        <v>201</v>
      </c>
      <c r="B87" t="s">
        <v>22</v>
      </c>
      <c r="C87" t="s">
        <v>202</v>
      </c>
      <c r="D87" t="s">
        <v>16</v>
      </c>
    </row>
    <row r="88" spans="1:4" x14ac:dyDescent="0.25">
      <c r="A88" t="s">
        <v>203</v>
      </c>
      <c r="B88" t="s">
        <v>22</v>
      </c>
      <c r="C88" t="s">
        <v>204</v>
      </c>
      <c r="D88" t="s">
        <v>16</v>
      </c>
    </row>
    <row r="89" spans="1:4" x14ac:dyDescent="0.25">
      <c r="A89" t="s">
        <v>205</v>
      </c>
      <c r="B89" t="s">
        <v>22</v>
      </c>
      <c r="C89" t="s">
        <v>206</v>
      </c>
      <c r="D89" t="s">
        <v>16</v>
      </c>
    </row>
    <row r="90" spans="1:4" x14ac:dyDescent="0.25">
      <c r="A90" t="s">
        <v>207</v>
      </c>
      <c r="B90" t="s">
        <v>22</v>
      </c>
      <c r="C90" t="s">
        <v>208</v>
      </c>
      <c r="D90" t="s">
        <v>16</v>
      </c>
    </row>
    <row r="91" spans="1:4" x14ac:dyDescent="0.25">
      <c r="A91" t="s">
        <v>209</v>
      </c>
      <c r="B91" t="s">
        <v>22</v>
      </c>
      <c r="C91" t="s">
        <v>210</v>
      </c>
      <c r="D91" t="s">
        <v>16</v>
      </c>
    </row>
    <row r="92" spans="1:4" x14ac:dyDescent="0.25">
      <c r="A92" t="s">
        <v>211</v>
      </c>
      <c r="B92" t="s">
        <v>22</v>
      </c>
      <c r="C92" t="s">
        <v>212</v>
      </c>
      <c r="D92" t="s">
        <v>16</v>
      </c>
    </row>
    <row r="93" spans="1:4" x14ac:dyDescent="0.25">
      <c r="A93" t="s">
        <v>213</v>
      </c>
      <c r="B93" t="s">
        <v>22</v>
      </c>
      <c r="C93" t="s">
        <v>214</v>
      </c>
      <c r="D93" t="s">
        <v>16</v>
      </c>
    </row>
    <row r="94" spans="1:4" x14ac:dyDescent="0.25">
      <c r="A94" t="s">
        <v>215</v>
      </c>
      <c r="B94" t="s">
        <v>22</v>
      </c>
      <c r="C94" t="s">
        <v>216</v>
      </c>
      <c r="D94" t="s">
        <v>16</v>
      </c>
    </row>
    <row r="95" spans="1:4" x14ac:dyDescent="0.25">
      <c r="A95" t="s">
        <v>217</v>
      </c>
      <c r="B95" t="s">
        <v>22</v>
      </c>
      <c r="C95" t="s">
        <v>218</v>
      </c>
      <c r="D95" t="s">
        <v>16</v>
      </c>
    </row>
    <row r="96" spans="1:4" x14ac:dyDescent="0.25">
      <c r="A96" t="s">
        <v>219</v>
      </c>
      <c r="B96" t="s">
        <v>22</v>
      </c>
      <c r="C96" t="s">
        <v>220</v>
      </c>
      <c r="D96" t="s">
        <v>24</v>
      </c>
    </row>
    <row r="97" spans="1:4" x14ac:dyDescent="0.25">
      <c r="A97" t="s">
        <v>221</v>
      </c>
      <c r="B97" t="s">
        <v>22</v>
      </c>
      <c r="C97" t="s">
        <v>222</v>
      </c>
      <c r="D97" t="s">
        <v>24</v>
      </c>
    </row>
    <row r="98" spans="1:4" x14ac:dyDescent="0.25">
      <c r="A98" t="s">
        <v>223</v>
      </c>
      <c r="B98" t="s">
        <v>22</v>
      </c>
      <c r="C98" t="s">
        <v>224</v>
      </c>
      <c r="D98" t="s">
        <v>16</v>
      </c>
    </row>
    <row r="99" spans="1:4" x14ac:dyDescent="0.25">
      <c r="A99" t="s">
        <v>225</v>
      </c>
      <c r="B99" t="s">
        <v>22</v>
      </c>
      <c r="C99" t="s">
        <v>226</v>
      </c>
      <c r="D99" t="s">
        <v>16</v>
      </c>
    </row>
    <row r="100" spans="1:4" x14ac:dyDescent="0.25">
      <c r="A100" t="s">
        <v>227</v>
      </c>
      <c r="B100" t="s">
        <v>22</v>
      </c>
      <c r="C100" t="s">
        <v>228</v>
      </c>
      <c r="D100" t="s">
        <v>7</v>
      </c>
    </row>
    <row r="101" spans="1:4" x14ac:dyDescent="0.25">
      <c r="A101" t="s">
        <v>229</v>
      </c>
      <c r="B101" t="s">
        <v>22</v>
      </c>
      <c r="C101" t="s">
        <v>230</v>
      </c>
      <c r="D101" t="s">
        <v>16</v>
      </c>
    </row>
    <row r="102" spans="1:4" x14ac:dyDescent="0.25">
      <c r="A102" t="s">
        <v>231</v>
      </c>
      <c r="B102" t="s">
        <v>22</v>
      </c>
      <c r="C102" t="s">
        <v>232</v>
      </c>
      <c r="D102" t="s">
        <v>16</v>
      </c>
    </row>
    <row r="103" spans="1:4" x14ac:dyDescent="0.25">
      <c r="A103" t="s">
        <v>233</v>
      </c>
      <c r="B103" t="s">
        <v>22</v>
      </c>
      <c r="C103" t="s">
        <v>234</v>
      </c>
      <c r="D103" t="s">
        <v>16</v>
      </c>
    </row>
    <row r="109" spans="1:4" x14ac:dyDescent="0.25">
      <c r="A109" t="s">
        <v>235</v>
      </c>
      <c r="B109" t="s">
        <v>236</v>
      </c>
      <c r="C109" t="s">
        <v>237</v>
      </c>
      <c r="D109" t="s">
        <v>7</v>
      </c>
    </row>
    <row r="110" spans="1:4" x14ac:dyDescent="0.25">
      <c r="A110" t="s">
        <v>238</v>
      </c>
      <c r="B110" t="s">
        <v>236</v>
      </c>
      <c r="C110" t="s">
        <v>239</v>
      </c>
      <c r="D110" t="s">
        <v>7</v>
      </c>
    </row>
    <row r="111" spans="1:4" x14ac:dyDescent="0.25">
      <c r="A111" t="s">
        <v>240</v>
      </c>
      <c r="B111" t="s">
        <v>236</v>
      </c>
      <c r="C111" t="s">
        <v>241</v>
      </c>
      <c r="D111" t="s">
        <v>16</v>
      </c>
    </row>
    <row r="112" spans="1:4" x14ac:dyDescent="0.25">
      <c r="A112" t="s">
        <v>242</v>
      </c>
      <c r="B112" t="s">
        <v>236</v>
      </c>
      <c r="C112" t="s">
        <v>243</v>
      </c>
      <c r="D112" t="s">
        <v>16</v>
      </c>
    </row>
    <row r="113" spans="1:4" x14ac:dyDescent="0.25">
      <c r="A113" t="s">
        <v>244</v>
      </c>
      <c r="B113" t="s">
        <v>236</v>
      </c>
      <c r="C113" t="s">
        <v>245</v>
      </c>
      <c r="D113" t="s">
        <v>16</v>
      </c>
    </row>
    <row r="114" spans="1:4" x14ac:dyDescent="0.25">
      <c r="A114" t="s">
        <v>246</v>
      </c>
      <c r="B114" t="s">
        <v>236</v>
      </c>
      <c r="C114" t="s">
        <v>247</v>
      </c>
      <c r="D114" t="s">
        <v>16</v>
      </c>
    </row>
    <row r="115" spans="1:4" x14ac:dyDescent="0.25">
      <c r="A115" t="s">
        <v>248</v>
      </c>
      <c r="B115" t="s">
        <v>236</v>
      </c>
      <c r="C115" t="s">
        <v>249</v>
      </c>
      <c r="D115" t="s">
        <v>16</v>
      </c>
    </row>
    <row r="116" spans="1:4" x14ac:dyDescent="0.25">
      <c r="A116" t="s">
        <v>250</v>
      </c>
      <c r="B116" t="s">
        <v>236</v>
      </c>
      <c r="C116" t="s">
        <v>251</v>
      </c>
      <c r="D116" t="s">
        <v>16</v>
      </c>
    </row>
    <row r="117" spans="1:4" x14ac:dyDescent="0.25">
      <c r="A117" t="s">
        <v>252</v>
      </c>
      <c r="B117" t="s">
        <v>236</v>
      </c>
      <c r="C117" t="s">
        <v>253</v>
      </c>
      <c r="D117" t="s">
        <v>16</v>
      </c>
    </row>
    <row r="118" spans="1:4" x14ac:dyDescent="0.25">
      <c r="A118" t="s">
        <v>254</v>
      </c>
      <c r="B118" t="s">
        <v>236</v>
      </c>
      <c r="C118" t="s">
        <v>255</v>
      </c>
      <c r="D118" t="s">
        <v>16</v>
      </c>
    </row>
    <row r="119" spans="1:4" x14ac:dyDescent="0.25">
      <c r="A119" t="s">
        <v>256</v>
      </c>
      <c r="B119" t="s">
        <v>236</v>
      </c>
      <c r="C119" t="s">
        <v>257</v>
      </c>
      <c r="D119" t="s">
        <v>16</v>
      </c>
    </row>
    <row r="120" spans="1:4" x14ac:dyDescent="0.25">
      <c r="A120" t="s">
        <v>258</v>
      </c>
      <c r="B120" t="s">
        <v>236</v>
      </c>
      <c r="C120" t="s">
        <v>259</v>
      </c>
      <c r="D120" t="s">
        <v>16</v>
      </c>
    </row>
    <row r="121" spans="1:4" x14ac:dyDescent="0.25">
      <c r="A121" t="s">
        <v>260</v>
      </c>
      <c r="B121" t="s">
        <v>236</v>
      </c>
      <c r="C121" t="s">
        <v>261</v>
      </c>
      <c r="D121" t="s">
        <v>16</v>
      </c>
    </row>
    <row r="122" spans="1:4" x14ac:dyDescent="0.25">
      <c r="A122" t="s">
        <v>262</v>
      </c>
      <c r="B122" t="s">
        <v>236</v>
      </c>
      <c r="C122" t="s">
        <v>263</v>
      </c>
      <c r="D122" t="s">
        <v>106</v>
      </c>
    </row>
    <row r="123" spans="1:4" x14ac:dyDescent="0.25">
      <c r="A123" t="s">
        <v>264</v>
      </c>
      <c r="B123" t="s">
        <v>236</v>
      </c>
      <c r="C123" t="s">
        <v>265</v>
      </c>
      <c r="D123" t="s">
        <v>106</v>
      </c>
    </row>
    <row r="128" spans="1:4" x14ac:dyDescent="0.25">
      <c r="A128" t="s">
        <v>266</v>
      </c>
      <c r="B128" t="s">
        <v>267</v>
      </c>
      <c r="C128" t="s">
        <v>268</v>
      </c>
      <c r="D128" t="s">
        <v>7</v>
      </c>
    </row>
    <row r="129" spans="1:4" x14ac:dyDescent="0.25">
      <c r="A129" t="s">
        <v>269</v>
      </c>
      <c r="B129" t="s">
        <v>267</v>
      </c>
      <c r="C129" t="s">
        <v>270</v>
      </c>
      <c r="D129" t="s">
        <v>16</v>
      </c>
    </row>
    <row r="130" spans="1:4" x14ac:dyDescent="0.25">
      <c r="A130" t="s">
        <v>271</v>
      </c>
      <c r="B130" t="s">
        <v>267</v>
      </c>
      <c r="C130" t="s">
        <v>272</v>
      </c>
      <c r="D130" t="s">
        <v>7</v>
      </c>
    </row>
    <row r="131" spans="1:4" x14ac:dyDescent="0.25">
      <c r="A131" t="s">
        <v>273</v>
      </c>
      <c r="B131" t="s">
        <v>267</v>
      </c>
      <c r="C131" t="s">
        <v>274</v>
      </c>
      <c r="D131" t="s">
        <v>7</v>
      </c>
    </row>
    <row r="132" spans="1:4" x14ac:dyDescent="0.25">
      <c r="A132" t="s">
        <v>275</v>
      </c>
      <c r="B132" t="s">
        <v>267</v>
      </c>
      <c r="C132" t="s">
        <v>276</v>
      </c>
      <c r="D132" t="s">
        <v>65</v>
      </c>
    </row>
    <row r="133" spans="1:4" x14ac:dyDescent="0.25">
      <c r="A133" t="s">
        <v>277</v>
      </c>
      <c r="B133" t="s">
        <v>267</v>
      </c>
      <c r="C133" t="s">
        <v>278</v>
      </c>
      <c r="D133" t="s">
        <v>65</v>
      </c>
    </row>
    <row r="134" spans="1:4" x14ac:dyDescent="0.25">
      <c r="A134" t="s">
        <v>279</v>
      </c>
      <c r="B134" t="s">
        <v>267</v>
      </c>
      <c r="C134" t="s">
        <v>280</v>
      </c>
      <c r="D134" t="s">
        <v>65</v>
      </c>
    </row>
    <row r="135" spans="1:4" x14ac:dyDescent="0.25">
      <c r="A135" t="s">
        <v>281</v>
      </c>
      <c r="B135" t="s">
        <v>267</v>
      </c>
      <c r="C135" t="s">
        <v>282</v>
      </c>
      <c r="D135" t="s">
        <v>65</v>
      </c>
    </row>
    <row r="136" spans="1:4" x14ac:dyDescent="0.25">
      <c r="A136" t="s">
        <v>283</v>
      </c>
      <c r="B136" t="s">
        <v>267</v>
      </c>
      <c r="C136" t="s">
        <v>284</v>
      </c>
      <c r="D136" t="s">
        <v>17</v>
      </c>
    </row>
    <row r="137" spans="1:4" x14ac:dyDescent="0.25">
      <c r="A137" t="s">
        <v>285</v>
      </c>
      <c r="B137" t="s">
        <v>267</v>
      </c>
      <c r="C137" t="s">
        <v>286</v>
      </c>
      <c r="D137" t="s">
        <v>65</v>
      </c>
    </row>
    <row r="138" spans="1:4" x14ac:dyDescent="0.25">
      <c r="A138" t="s">
        <v>287</v>
      </c>
      <c r="B138" t="s">
        <v>267</v>
      </c>
      <c r="C138" t="s">
        <v>288</v>
      </c>
      <c r="D138" t="s">
        <v>17</v>
      </c>
    </row>
    <row r="139" spans="1:4" x14ac:dyDescent="0.25">
      <c r="A139" t="s">
        <v>289</v>
      </c>
      <c r="B139" t="s">
        <v>267</v>
      </c>
      <c r="C139" t="s">
        <v>290</v>
      </c>
      <c r="D139" t="s">
        <v>65</v>
      </c>
    </row>
    <row r="140" spans="1:4" x14ac:dyDescent="0.25">
      <c r="A140" t="s">
        <v>291</v>
      </c>
      <c r="B140" t="s">
        <v>267</v>
      </c>
      <c r="C140" t="s">
        <v>292</v>
      </c>
      <c r="D140" t="s">
        <v>17</v>
      </c>
    </row>
    <row r="141" spans="1:4" x14ac:dyDescent="0.25">
      <c r="A141" t="s">
        <v>293</v>
      </c>
      <c r="B141" t="s">
        <v>267</v>
      </c>
      <c r="C141" t="s">
        <v>294</v>
      </c>
      <c r="D141" t="s">
        <v>17</v>
      </c>
    </row>
    <row r="142" spans="1:4" x14ac:dyDescent="0.25">
      <c r="A142" t="s">
        <v>295</v>
      </c>
      <c r="B142" t="s">
        <v>267</v>
      </c>
      <c r="C142" t="s">
        <v>296</v>
      </c>
      <c r="D142" t="s">
        <v>65</v>
      </c>
    </row>
    <row r="143" spans="1:4" x14ac:dyDescent="0.25">
      <c r="A143" t="s">
        <v>297</v>
      </c>
      <c r="B143" t="s">
        <v>267</v>
      </c>
      <c r="C143" t="s">
        <v>298</v>
      </c>
      <c r="D143" t="s">
        <v>17</v>
      </c>
    </row>
    <row r="144" spans="1:4" x14ac:dyDescent="0.25">
      <c r="A144" t="s">
        <v>299</v>
      </c>
      <c r="B144" t="s">
        <v>267</v>
      </c>
      <c r="C144" t="s">
        <v>300</v>
      </c>
      <c r="D144" t="s">
        <v>17</v>
      </c>
    </row>
    <row r="145" spans="1:4" x14ac:dyDescent="0.25">
      <c r="A145" t="s">
        <v>301</v>
      </c>
      <c r="B145" t="s">
        <v>267</v>
      </c>
      <c r="C145" t="s">
        <v>302</v>
      </c>
      <c r="D145" t="s">
        <v>17</v>
      </c>
    </row>
    <row r="146" spans="1:4" x14ac:dyDescent="0.25">
      <c r="A146" t="s">
        <v>303</v>
      </c>
      <c r="B146" t="s">
        <v>267</v>
      </c>
      <c r="C146" t="s">
        <v>304</v>
      </c>
      <c r="D146" t="s">
        <v>65</v>
      </c>
    </row>
    <row r="147" spans="1:4" x14ac:dyDescent="0.25">
      <c r="A147" t="s">
        <v>305</v>
      </c>
      <c r="B147" t="s">
        <v>267</v>
      </c>
      <c r="C147" t="s">
        <v>306</v>
      </c>
      <c r="D147" t="s">
        <v>17</v>
      </c>
    </row>
    <row r="148" spans="1:4" x14ac:dyDescent="0.25">
      <c r="A148" t="s">
        <v>307</v>
      </c>
      <c r="B148" t="s">
        <v>267</v>
      </c>
      <c r="C148" t="s">
        <v>308</v>
      </c>
      <c r="D148" t="s">
        <v>65</v>
      </c>
    </row>
    <row r="149" spans="1:4" x14ac:dyDescent="0.25">
      <c r="A149" t="s">
        <v>309</v>
      </c>
      <c r="B149" t="s">
        <v>267</v>
      </c>
      <c r="C149" t="s">
        <v>310</v>
      </c>
      <c r="D149" t="s">
        <v>17</v>
      </c>
    </row>
    <row r="150" spans="1:4" x14ac:dyDescent="0.25">
      <c r="A150" t="s">
        <v>311</v>
      </c>
      <c r="B150" t="s">
        <v>267</v>
      </c>
      <c r="C150" t="s">
        <v>312</v>
      </c>
      <c r="D150" t="s">
        <v>65</v>
      </c>
    </row>
    <row r="151" spans="1:4" x14ac:dyDescent="0.25">
      <c r="A151" t="s">
        <v>313</v>
      </c>
      <c r="B151" t="s">
        <v>267</v>
      </c>
      <c r="C151" t="s">
        <v>314</v>
      </c>
      <c r="D151" t="s">
        <v>17</v>
      </c>
    </row>
    <row r="152" spans="1:4" x14ac:dyDescent="0.25">
      <c r="A152" t="s">
        <v>315</v>
      </c>
      <c r="B152" t="s">
        <v>267</v>
      </c>
      <c r="C152" t="s">
        <v>316</v>
      </c>
      <c r="D152" t="s">
        <v>17</v>
      </c>
    </row>
    <row r="153" spans="1:4" x14ac:dyDescent="0.25">
      <c r="A153" t="s">
        <v>317</v>
      </c>
      <c r="B153" t="s">
        <v>267</v>
      </c>
      <c r="C153" t="s">
        <v>318</v>
      </c>
      <c r="D153" t="s">
        <v>17</v>
      </c>
    </row>
    <row r="154" spans="1:4" x14ac:dyDescent="0.25">
      <c r="A154" t="s">
        <v>319</v>
      </c>
      <c r="B154" t="s">
        <v>267</v>
      </c>
      <c r="C154" t="s">
        <v>320</v>
      </c>
      <c r="D154" t="s">
        <v>17</v>
      </c>
    </row>
    <row r="155" spans="1:4" x14ac:dyDescent="0.25">
      <c r="A155" t="s">
        <v>321</v>
      </c>
      <c r="B155" t="s">
        <v>267</v>
      </c>
      <c r="C155" t="s">
        <v>322</v>
      </c>
      <c r="D155" t="s">
        <v>106</v>
      </c>
    </row>
    <row r="156" spans="1:4" x14ac:dyDescent="0.25">
      <c r="A156" t="s">
        <v>323</v>
      </c>
      <c r="B156" t="s">
        <v>267</v>
      </c>
      <c r="C156" t="s">
        <v>324</v>
      </c>
      <c r="D156" t="s">
        <v>106</v>
      </c>
    </row>
    <row r="157" spans="1:4" x14ac:dyDescent="0.25">
      <c r="A157" t="s">
        <v>325</v>
      </c>
      <c r="B157" t="s">
        <v>267</v>
      </c>
      <c r="C157" t="s">
        <v>326</v>
      </c>
      <c r="D157" t="s">
        <v>16</v>
      </c>
    </row>
    <row r="158" spans="1:4" x14ac:dyDescent="0.25">
      <c r="A158" t="s">
        <v>327</v>
      </c>
      <c r="B158" t="s">
        <v>267</v>
      </c>
      <c r="C158" t="s">
        <v>328</v>
      </c>
      <c r="D158" t="s">
        <v>329</v>
      </c>
    </row>
    <row r="159" spans="1:4" x14ac:dyDescent="0.25">
      <c r="A159" t="s">
        <v>330</v>
      </c>
      <c r="B159" t="s">
        <v>267</v>
      </c>
      <c r="C159" t="s">
        <v>331</v>
      </c>
      <c r="D159" t="s">
        <v>329</v>
      </c>
    </row>
    <row r="160" spans="1:4" x14ac:dyDescent="0.25">
      <c r="A160" t="s">
        <v>332</v>
      </c>
      <c r="B160" t="s">
        <v>267</v>
      </c>
      <c r="C160" t="s">
        <v>333</v>
      </c>
      <c r="D160" t="s">
        <v>16</v>
      </c>
    </row>
    <row r="161" spans="1:4" x14ac:dyDescent="0.25">
      <c r="A161" t="s">
        <v>334</v>
      </c>
      <c r="B161" t="s">
        <v>267</v>
      </c>
      <c r="C161" t="s">
        <v>335</v>
      </c>
      <c r="D161" t="s">
        <v>16</v>
      </c>
    </row>
    <row r="162" spans="1:4" x14ac:dyDescent="0.25">
      <c r="A162" t="s">
        <v>336</v>
      </c>
      <c r="B162" t="s">
        <v>267</v>
      </c>
      <c r="C162" t="s">
        <v>337</v>
      </c>
      <c r="D162" t="s">
        <v>16</v>
      </c>
    </row>
    <row r="163" spans="1:4" x14ac:dyDescent="0.25">
      <c r="A163" t="s">
        <v>338</v>
      </c>
      <c r="B163" t="s">
        <v>267</v>
      </c>
      <c r="C163" t="s">
        <v>339</v>
      </c>
      <c r="D163" t="s">
        <v>16</v>
      </c>
    </row>
    <row r="164" spans="1:4" x14ac:dyDescent="0.25">
      <c r="A164" t="s">
        <v>340</v>
      </c>
      <c r="B164" t="s">
        <v>267</v>
      </c>
      <c r="C164" t="s">
        <v>341</v>
      </c>
      <c r="D164" t="s">
        <v>16</v>
      </c>
    </row>
    <row r="165" spans="1:4" x14ac:dyDescent="0.25">
      <c r="A165" t="s">
        <v>342</v>
      </c>
      <c r="B165" t="s">
        <v>267</v>
      </c>
      <c r="C165" t="s">
        <v>343</v>
      </c>
      <c r="D165" t="s">
        <v>16</v>
      </c>
    </row>
    <row r="166" spans="1:4" x14ac:dyDescent="0.25">
      <c r="A166" t="s">
        <v>344</v>
      </c>
      <c r="B166" t="s">
        <v>267</v>
      </c>
      <c r="C166" t="s">
        <v>345</v>
      </c>
      <c r="D166" t="s">
        <v>16</v>
      </c>
    </row>
    <row r="167" spans="1:4" x14ac:dyDescent="0.25">
      <c r="A167" t="s">
        <v>346</v>
      </c>
      <c r="B167" t="s">
        <v>267</v>
      </c>
      <c r="C167" t="s">
        <v>347</v>
      </c>
      <c r="D167" t="s">
        <v>16</v>
      </c>
    </row>
    <row r="168" spans="1:4" x14ac:dyDescent="0.25">
      <c r="A168" t="s">
        <v>348</v>
      </c>
      <c r="B168" t="s">
        <v>267</v>
      </c>
      <c r="C168" t="s">
        <v>349</v>
      </c>
      <c r="D168" t="s">
        <v>329</v>
      </c>
    </row>
    <row r="169" spans="1:4" x14ac:dyDescent="0.25">
      <c r="A169" t="s">
        <v>350</v>
      </c>
      <c r="B169" t="s">
        <v>267</v>
      </c>
      <c r="C169" t="s">
        <v>351</v>
      </c>
      <c r="D169" t="s">
        <v>329</v>
      </c>
    </row>
    <row r="170" spans="1:4" x14ac:dyDescent="0.25">
      <c r="A170" t="s">
        <v>352</v>
      </c>
      <c r="B170" t="s">
        <v>267</v>
      </c>
      <c r="C170" t="s">
        <v>353</v>
      </c>
      <c r="D170" t="s">
        <v>329</v>
      </c>
    </row>
    <row r="171" spans="1:4" x14ac:dyDescent="0.25">
      <c r="A171" t="s">
        <v>354</v>
      </c>
      <c r="B171" t="s">
        <v>267</v>
      </c>
      <c r="C171" t="s">
        <v>355</v>
      </c>
      <c r="D171" t="s">
        <v>329</v>
      </c>
    </row>
    <row r="172" spans="1:4" x14ac:dyDescent="0.25">
      <c r="A172" t="s">
        <v>356</v>
      </c>
      <c r="B172" t="s">
        <v>267</v>
      </c>
      <c r="C172" t="s">
        <v>357</v>
      </c>
      <c r="D172" t="s">
        <v>7</v>
      </c>
    </row>
    <row r="173" spans="1:4" x14ac:dyDescent="0.25">
      <c r="A173" t="s">
        <v>358</v>
      </c>
      <c r="B173" t="s">
        <v>267</v>
      </c>
      <c r="C173" t="s">
        <v>359</v>
      </c>
      <c r="D173" t="s">
        <v>106</v>
      </c>
    </row>
    <row r="174" spans="1:4" x14ac:dyDescent="0.25">
      <c r="A174" t="s">
        <v>360</v>
      </c>
      <c r="B174" t="s">
        <v>267</v>
      </c>
      <c r="C174" t="s">
        <v>361</v>
      </c>
      <c r="D174" t="s">
        <v>106</v>
      </c>
    </row>
    <row r="175" spans="1:4" x14ac:dyDescent="0.25">
      <c r="A175" t="s">
        <v>362</v>
      </c>
      <c r="B175" t="s">
        <v>267</v>
      </c>
      <c r="C175" t="s">
        <v>363</v>
      </c>
      <c r="D175" t="s">
        <v>106</v>
      </c>
    </row>
    <row r="176" spans="1:4" x14ac:dyDescent="0.25">
      <c r="A176" t="s">
        <v>364</v>
      </c>
      <c r="B176" t="s">
        <v>267</v>
      </c>
      <c r="C176" t="s">
        <v>365</v>
      </c>
      <c r="D176" t="s">
        <v>106</v>
      </c>
    </row>
    <row r="177" spans="1:4" x14ac:dyDescent="0.25">
      <c r="A177" t="s">
        <v>366</v>
      </c>
      <c r="B177" t="s">
        <v>267</v>
      </c>
      <c r="C177" t="s">
        <v>367</v>
      </c>
      <c r="D177" t="s">
        <v>106</v>
      </c>
    </row>
    <row r="178" spans="1:4" x14ac:dyDescent="0.25">
      <c r="A178" t="s">
        <v>368</v>
      </c>
      <c r="B178" t="s">
        <v>267</v>
      </c>
      <c r="C178" t="s">
        <v>369</v>
      </c>
      <c r="D178" t="s">
        <v>106</v>
      </c>
    </row>
    <row r="179" spans="1:4" x14ac:dyDescent="0.25">
      <c r="A179" t="s">
        <v>370</v>
      </c>
      <c r="B179" t="s">
        <v>267</v>
      </c>
      <c r="C179" t="s">
        <v>371</v>
      </c>
      <c r="D179" t="s">
        <v>106</v>
      </c>
    </row>
    <row r="180" spans="1:4" x14ac:dyDescent="0.25">
      <c r="A180" t="s">
        <v>372</v>
      </c>
      <c r="B180" t="s">
        <v>267</v>
      </c>
      <c r="C180" t="s">
        <v>373</v>
      </c>
      <c r="D180" t="s">
        <v>106</v>
      </c>
    </row>
    <row r="181" spans="1:4" x14ac:dyDescent="0.25">
      <c r="A181" t="s">
        <v>374</v>
      </c>
      <c r="B181" t="s">
        <v>267</v>
      </c>
      <c r="C181" t="s">
        <v>375</v>
      </c>
      <c r="D181" t="s">
        <v>17</v>
      </c>
    </row>
    <row r="182" spans="1:4" x14ac:dyDescent="0.25">
      <c r="A182" t="s">
        <v>376</v>
      </c>
      <c r="B182" t="s">
        <v>267</v>
      </c>
      <c r="C182" t="s">
        <v>377</v>
      </c>
      <c r="D182" t="s">
        <v>106</v>
      </c>
    </row>
    <row r="183" spans="1:4" x14ac:dyDescent="0.25">
      <c r="A183" t="s">
        <v>378</v>
      </c>
      <c r="B183" t="s">
        <v>267</v>
      </c>
      <c r="C183" t="s">
        <v>379</v>
      </c>
      <c r="D183" t="s">
        <v>329</v>
      </c>
    </row>
    <row r="184" spans="1:4" x14ac:dyDescent="0.25">
      <c r="A184" t="s">
        <v>380</v>
      </c>
      <c r="B184" t="s">
        <v>267</v>
      </c>
      <c r="C184" t="s">
        <v>381</v>
      </c>
      <c r="D184" t="s">
        <v>7</v>
      </c>
    </row>
    <row r="185" spans="1:4" x14ac:dyDescent="0.25">
      <c r="A185" t="s">
        <v>382</v>
      </c>
      <c r="B185" t="s">
        <v>267</v>
      </c>
      <c r="C185" t="s">
        <v>383</v>
      </c>
      <c r="D185" t="s">
        <v>17</v>
      </c>
    </row>
    <row r="186" spans="1:4" x14ac:dyDescent="0.25">
      <c r="A186" t="s">
        <v>384</v>
      </c>
      <c r="B186" t="s">
        <v>267</v>
      </c>
      <c r="C186" t="s">
        <v>385</v>
      </c>
      <c r="D186" t="s">
        <v>17</v>
      </c>
    </row>
    <row r="187" spans="1:4" x14ac:dyDescent="0.25">
      <c r="A187" t="s">
        <v>386</v>
      </c>
      <c r="B187" t="s">
        <v>267</v>
      </c>
      <c r="C187" t="s">
        <v>387</v>
      </c>
      <c r="D187" t="s">
        <v>329</v>
      </c>
    </row>
    <row r="188" spans="1:4" x14ac:dyDescent="0.25">
      <c r="A188" t="s">
        <v>388</v>
      </c>
      <c r="B188" t="s">
        <v>267</v>
      </c>
      <c r="C188" t="s">
        <v>389</v>
      </c>
      <c r="D188" t="s">
        <v>329</v>
      </c>
    </row>
    <row r="189" spans="1:4" x14ac:dyDescent="0.25">
      <c r="A189" t="s">
        <v>390</v>
      </c>
      <c r="B189" t="s">
        <v>267</v>
      </c>
      <c r="C189" t="s">
        <v>391</v>
      </c>
      <c r="D189" t="s">
        <v>329</v>
      </c>
    </row>
    <row r="190" spans="1:4" x14ac:dyDescent="0.25">
      <c r="A190" t="s">
        <v>392</v>
      </c>
      <c r="B190" t="s">
        <v>267</v>
      </c>
      <c r="C190" t="s">
        <v>393</v>
      </c>
      <c r="D190" t="s">
        <v>329</v>
      </c>
    </row>
    <row r="191" spans="1:4" x14ac:dyDescent="0.25">
      <c r="A191" t="s">
        <v>394</v>
      </c>
      <c r="B191" t="s">
        <v>267</v>
      </c>
      <c r="C191" t="s">
        <v>395</v>
      </c>
      <c r="D191" t="s">
        <v>329</v>
      </c>
    </row>
    <row r="192" spans="1:4" x14ac:dyDescent="0.25">
      <c r="A192" t="s">
        <v>396</v>
      </c>
      <c r="B192" t="s">
        <v>267</v>
      </c>
      <c r="C192" t="s">
        <v>397</v>
      </c>
      <c r="D192" t="s">
        <v>329</v>
      </c>
    </row>
    <row r="193" spans="1:4" x14ac:dyDescent="0.25">
      <c r="A193" t="s">
        <v>398</v>
      </c>
      <c r="B193" t="s">
        <v>267</v>
      </c>
      <c r="C193" t="s">
        <v>399</v>
      </c>
      <c r="D193" t="s">
        <v>329</v>
      </c>
    </row>
    <row r="194" spans="1:4" x14ac:dyDescent="0.25">
      <c r="A194" t="s">
        <v>400</v>
      </c>
      <c r="B194" t="s">
        <v>267</v>
      </c>
      <c r="C194" t="s">
        <v>401</v>
      </c>
      <c r="D194" t="s">
        <v>329</v>
      </c>
    </row>
    <row r="195" spans="1:4" x14ac:dyDescent="0.25">
      <c r="A195" t="s">
        <v>402</v>
      </c>
      <c r="B195" t="s">
        <v>267</v>
      </c>
      <c r="C195" t="s">
        <v>403</v>
      </c>
      <c r="D195" t="s">
        <v>329</v>
      </c>
    </row>
    <row r="196" spans="1:4" x14ac:dyDescent="0.25">
      <c r="A196" t="s">
        <v>404</v>
      </c>
      <c r="B196" t="s">
        <v>267</v>
      </c>
      <c r="C196" t="s">
        <v>405</v>
      </c>
      <c r="D196" t="s">
        <v>329</v>
      </c>
    </row>
    <row r="197" spans="1:4" x14ac:dyDescent="0.25">
      <c r="A197" t="s">
        <v>406</v>
      </c>
      <c r="B197" t="s">
        <v>267</v>
      </c>
      <c r="C197" t="s">
        <v>407</v>
      </c>
      <c r="D197" t="s">
        <v>329</v>
      </c>
    </row>
    <row r="198" spans="1:4" x14ac:dyDescent="0.25">
      <c r="A198" t="s">
        <v>408</v>
      </c>
      <c r="B198" t="s">
        <v>267</v>
      </c>
      <c r="C198" t="s">
        <v>409</v>
      </c>
      <c r="D198" t="s">
        <v>329</v>
      </c>
    </row>
    <row r="199" spans="1:4" x14ac:dyDescent="0.25">
      <c r="A199" t="s">
        <v>410</v>
      </c>
      <c r="B199" t="s">
        <v>267</v>
      </c>
      <c r="C199" t="s">
        <v>411</v>
      </c>
      <c r="D199" t="s">
        <v>16</v>
      </c>
    </row>
    <row r="200" spans="1:4" x14ac:dyDescent="0.25">
      <c r="A200" t="s">
        <v>412</v>
      </c>
      <c r="B200" t="s">
        <v>267</v>
      </c>
      <c r="C200" t="s">
        <v>413</v>
      </c>
      <c r="D200" t="s">
        <v>329</v>
      </c>
    </row>
    <row r="201" spans="1:4" x14ac:dyDescent="0.25">
      <c r="A201" t="s">
        <v>414</v>
      </c>
      <c r="B201" t="s">
        <v>267</v>
      </c>
      <c r="C201" t="s">
        <v>415</v>
      </c>
      <c r="D201" t="s">
        <v>329</v>
      </c>
    </row>
    <row r="202" spans="1:4" x14ac:dyDescent="0.25">
      <c r="A202" t="s">
        <v>416</v>
      </c>
      <c r="B202" t="s">
        <v>267</v>
      </c>
      <c r="C202" t="s">
        <v>417</v>
      </c>
      <c r="D202" t="s">
        <v>329</v>
      </c>
    </row>
    <row r="203" spans="1:4" x14ac:dyDescent="0.25">
      <c r="A203" t="s">
        <v>418</v>
      </c>
      <c r="B203" t="s">
        <v>267</v>
      </c>
      <c r="C203" t="s">
        <v>419</v>
      </c>
      <c r="D203" t="s">
        <v>329</v>
      </c>
    </row>
    <row r="204" spans="1:4" x14ac:dyDescent="0.25">
      <c r="A204" t="s">
        <v>420</v>
      </c>
      <c r="B204" t="s">
        <v>267</v>
      </c>
      <c r="C204" t="s">
        <v>421</v>
      </c>
      <c r="D204" t="s">
        <v>329</v>
      </c>
    </row>
    <row r="205" spans="1:4" x14ac:dyDescent="0.25">
      <c r="A205" t="s">
        <v>422</v>
      </c>
      <c r="B205" t="s">
        <v>267</v>
      </c>
      <c r="C205" t="s">
        <v>423</v>
      </c>
      <c r="D205" t="s">
        <v>329</v>
      </c>
    </row>
    <row r="206" spans="1:4" x14ac:dyDescent="0.25">
      <c r="A206" t="s">
        <v>424</v>
      </c>
      <c r="B206" t="s">
        <v>267</v>
      </c>
      <c r="C206" t="s">
        <v>425</v>
      </c>
      <c r="D206" t="s">
        <v>329</v>
      </c>
    </row>
    <row r="207" spans="1:4" x14ac:dyDescent="0.25">
      <c r="A207" t="s">
        <v>426</v>
      </c>
      <c r="B207" t="s">
        <v>267</v>
      </c>
      <c r="C207" t="s">
        <v>427</v>
      </c>
      <c r="D207" t="s">
        <v>329</v>
      </c>
    </row>
    <row r="208" spans="1:4" x14ac:dyDescent="0.25">
      <c r="A208" t="s">
        <v>428</v>
      </c>
      <c r="B208" t="s">
        <v>267</v>
      </c>
      <c r="C208" t="s">
        <v>429</v>
      </c>
      <c r="D208" t="s">
        <v>329</v>
      </c>
    </row>
    <row r="209" spans="1:4" x14ac:dyDescent="0.25">
      <c r="A209" t="s">
        <v>430</v>
      </c>
      <c r="B209" t="s">
        <v>267</v>
      </c>
      <c r="C209" t="s">
        <v>431</v>
      </c>
      <c r="D209" t="s">
        <v>329</v>
      </c>
    </row>
    <row r="210" spans="1:4" x14ac:dyDescent="0.25">
      <c r="A210" t="s">
        <v>432</v>
      </c>
      <c r="B210" t="s">
        <v>267</v>
      </c>
      <c r="C210" t="s">
        <v>433</v>
      </c>
      <c r="D210" t="s">
        <v>329</v>
      </c>
    </row>
    <row r="211" spans="1:4" x14ac:dyDescent="0.25">
      <c r="A211" t="s">
        <v>434</v>
      </c>
      <c r="B211" t="s">
        <v>267</v>
      </c>
      <c r="C211" t="s">
        <v>435</v>
      </c>
      <c r="D211" t="s">
        <v>329</v>
      </c>
    </row>
    <row r="212" spans="1:4" x14ac:dyDescent="0.25">
      <c r="A212" t="s">
        <v>436</v>
      </c>
      <c r="B212" t="s">
        <v>267</v>
      </c>
      <c r="C212" t="s">
        <v>437</v>
      </c>
      <c r="D212" t="s">
        <v>106</v>
      </c>
    </row>
    <row r="213" spans="1:4" x14ac:dyDescent="0.25">
      <c r="A213" t="s">
        <v>438</v>
      </c>
      <c r="B213" t="s">
        <v>267</v>
      </c>
      <c r="C213" t="s">
        <v>439</v>
      </c>
      <c r="D213" t="s">
        <v>7</v>
      </c>
    </row>
    <row r="214" spans="1:4" x14ac:dyDescent="0.25">
      <c r="A214" t="s">
        <v>440</v>
      </c>
      <c r="B214" t="s">
        <v>267</v>
      </c>
      <c r="C214" t="s">
        <v>441</v>
      </c>
      <c r="D214" t="s">
        <v>329</v>
      </c>
    </row>
    <row r="215" spans="1:4" x14ac:dyDescent="0.25">
      <c r="A215" t="s">
        <v>442</v>
      </c>
      <c r="B215" t="s">
        <v>267</v>
      </c>
      <c r="C215" t="s">
        <v>443</v>
      </c>
      <c r="D215" t="s">
        <v>7</v>
      </c>
    </row>
    <row r="216" spans="1:4" x14ac:dyDescent="0.25">
      <c r="A216" t="s">
        <v>444</v>
      </c>
      <c r="B216" t="s">
        <v>267</v>
      </c>
      <c r="C216" t="s">
        <v>445</v>
      </c>
      <c r="D216" t="s">
        <v>329</v>
      </c>
    </row>
    <row r="217" spans="1:4" x14ac:dyDescent="0.25">
      <c r="A217" t="s">
        <v>446</v>
      </c>
      <c r="B217" t="s">
        <v>267</v>
      </c>
      <c r="C217" t="s">
        <v>447</v>
      </c>
      <c r="D217" t="s">
        <v>50</v>
      </c>
    </row>
    <row r="218" spans="1:4" x14ac:dyDescent="0.25">
      <c r="A218" t="s">
        <v>448</v>
      </c>
      <c r="B218" t="s">
        <v>267</v>
      </c>
      <c r="C218" t="s">
        <v>449</v>
      </c>
      <c r="D218" t="s">
        <v>50</v>
      </c>
    </row>
    <row r="219" spans="1:4" x14ac:dyDescent="0.25">
      <c r="A219" t="s">
        <v>450</v>
      </c>
      <c r="B219" t="s">
        <v>267</v>
      </c>
      <c r="C219" t="s">
        <v>451</v>
      </c>
      <c r="D219" t="s">
        <v>50</v>
      </c>
    </row>
    <row r="220" spans="1:4" x14ac:dyDescent="0.25">
      <c r="A220" t="s">
        <v>452</v>
      </c>
      <c r="B220" t="s">
        <v>267</v>
      </c>
      <c r="C220" t="s">
        <v>453</v>
      </c>
      <c r="D220" t="s">
        <v>50</v>
      </c>
    </row>
    <row r="221" spans="1:4" x14ac:dyDescent="0.25">
      <c r="A221" t="s">
        <v>454</v>
      </c>
      <c r="B221" t="s">
        <v>267</v>
      </c>
      <c r="C221" t="s">
        <v>455</v>
      </c>
      <c r="D221" t="s">
        <v>106</v>
      </c>
    </row>
    <row r="222" spans="1:4" x14ac:dyDescent="0.25">
      <c r="A222" t="s">
        <v>456</v>
      </c>
      <c r="B222" t="s">
        <v>267</v>
      </c>
      <c r="C222" t="s">
        <v>457</v>
      </c>
      <c r="D222" t="s">
        <v>50</v>
      </c>
    </row>
    <row r="223" spans="1:4" x14ac:dyDescent="0.25">
      <c r="A223" t="s">
        <v>458</v>
      </c>
      <c r="B223" t="s">
        <v>267</v>
      </c>
      <c r="C223" t="s">
        <v>459</v>
      </c>
      <c r="D223" t="s">
        <v>106</v>
      </c>
    </row>
    <row r="224" spans="1:4" x14ac:dyDescent="0.25">
      <c r="A224" t="s">
        <v>460</v>
      </c>
      <c r="B224" t="s">
        <v>267</v>
      </c>
      <c r="C224" t="s">
        <v>461</v>
      </c>
      <c r="D224" t="s">
        <v>50</v>
      </c>
    </row>
    <row r="225" spans="1:4" x14ac:dyDescent="0.25">
      <c r="A225" t="s">
        <v>462</v>
      </c>
      <c r="B225" t="s">
        <v>267</v>
      </c>
      <c r="C225" t="s">
        <v>463</v>
      </c>
      <c r="D225" t="s">
        <v>106</v>
      </c>
    </row>
    <row r="226" spans="1:4" x14ac:dyDescent="0.25">
      <c r="A226" t="s">
        <v>464</v>
      </c>
      <c r="B226" t="s">
        <v>267</v>
      </c>
      <c r="C226" t="s">
        <v>465</v>
      </c>
      <c r="D226" t="s">
        <v>106</v>
      </c>
    </row>
    <row r="227" spans="1:4" x14ac:dyDescent="0.25">
      <c r="A227" t="s">
        <v>466</v>
      </c>
      <c r="B227" t="s">
        <v>267</v>
      </c>
      <c r="C227" t="s">
        <v>467</v>
      </c>
      <c r="D227" t="s">
        <v>7</v>
      </c>
    </row>
    <row r="228" spans="1:4" x14ac:dyDescent="0.25">
      <c r="A228" t="s">
        <v>468</v>
      </c>
      <c r="B228" t="s">
        <v>267</v>
      </c>
      <c r="C228" t="s">
        <v>469</v>
      </c>
      <c r="D228" t="s">
        <v>7</v>
      </c>
    </row>
    <row r="229" spans="1:4" x14ac:dyDescent="0.25">
      <c r="A229" t="s">
        <v>470</v>
      </c>
      <c r="B229" t="s">
        <v>267</v>
      </c>
      <c r="C229" t="s">
        <v>471</v>
      </c>
      <c r="D229" t="s">
        <v>7</v>
      </c>
    </row>
    <row r="230" spans="1:4" x14ac:dyDescent="0.25">
      <c r="A230" t="s">
        <v>472</v>
      </c>
      <c r="B230" t="s">
        <v>267</v>
      </c>
      <c r="C230" t="s">
        <v>473</v>
      </c>
      <c r="D230" t="s">
        <v>7</v>
      </c>
    </row>
    <row r="231" spans="1:4" x14ac:dyDescent="0.25">
      <c r="A231" t="s">
        <v>474</v>
      </c>
      <c r="B231" t="s">
        <v>267</v>
      </c>
      <c r="C231" t="s">
        <v>475</v>
      </c>
      <c r="D231" t="s">
        <v>106</v>
      </c>
    </row>
    <row r="232" spans="1:4" x14ac:dyDescent="0.25">
      <c r="A232" t="s">
        <v>476</v>
      </c>
      <c r="B232" t="s">
        <v>267</v>
      </c>
      <c r="C232" t="s">
        <v>477</v>
      </c>
      <c r="D232" t="s">
        <v>50</v>
      </c>
    </row>
    <row r="233" spans="1:4" x14ac:dyDescent="0.25">
      <c r="A233" t="s">
        <v>478</v>
      </c>
      <c r="B233" t="s">
        <v>267</v>
      </c>
      <c r="C233" t="s">
        <v>479</v>
      </c>
      <c r="D233" t="s">
        <v>106</v>
      </c>
    </row>
    <row r="234" spans="1:4" x14ac:dyDescent="0.25">
      <c r="A234" t="s">
        <v>480</v>
      </c>
      <c r="B234" t="s">
        <v>267</v>
      </c>
      <c r="C234" t="s">
        <v>481</v>
      </c>
      <c r="D234" t="s">
        <v>7</v>
      </c>
    </row>
    <row r="235" spans="1:4" x14ac:dyDescent="0.25">
      <c r="A235" t="s">
        <v>482</v>
      </c>
      <c r="B235" t="s">
        <v>267</v>
      </c>
      <c r="C235" t="s">
        <v>483</v>
      </c>
      <c r="D235" t="s">
        <v>329</v>
      </c>
    </row>
    <row r="236" spans="1:4" x14ac:dyDescent="0.25">
      <c r="A236" t="s">
        <v>484</v>
      </c>
      <c r="B236" t="s">
        <v>267</v>
      </c>
      <c r="C236" t="s">
        <v>485</v>
      </c>
      <c r="D236" t="s">
        <v>50</v>
      </c>
    </row>
    <row r="237" spans="1:4" x14ac:dyDescent="0.25">
      <c r="A237" t="s">
        <v>486</v>
      </c>
      <c r="B237" t="s">
        <v>267</v>
      </c>
      <c r="C237" t="s">
        <v>487</v>
      </c>
      <c r="D237" t="s">
        <v>106</v>
      </c>
    </row>
    <row r="238" spans="1:4" x14ac:dyDescent="0.25">
      <c r="A238" t="s">
        <v>488</v>
      </c>
      <c r="B238" t="s">
        <v>267</v>
      </c>
      <c r="C238" t="s">
        <v>489</v>
      </c>
      <c r="D238" t="s">
        <v>106</v>
      </c>
    </row>
    <row r="239" spans="1:4" x14ac:dyDescent="0.25">
      <c r="A239" t="s">
        <v>490</v>
      </c>
      <c r="B239" t="s">
        <v>267</v>
      </c>
      <c r="C239" t="s">
        <v>491</v>
      </c>
      <c r="D239" t="s">
        <v>106</v>
      </c>
    </row>
    <row r="240" spans="1:4" x14ac:dyDescent="0.25">
      <c r="A240" t="s">
        <v>492</v>
      </c>
      <c r="B240" t="s">
        <v>267</v>
      </c>
      <c r="C240" t="s">
        <v>493</v>
      </c>
      <c r="D240" t="s">
        <v>16</v>
      </c>
    </row>
    <row r="241" spans="1:4" x14ac:dyDescent="0.25">
      <c r="A241" t="s">
        <v>494</v>
      </c>
      <c r="B241" t="s">
        <v>267</v>
      </c>
      <c r="C241" t="s">
        <v>495</v>
      </c>
      <c r="D241" t="s">
        <v>7</v>
      </c>
    </row>
    <row r="242" spans="1:4" x14ac:dyDescent="0.25">
      <c r="A242" t="s">
        <v>496</v>
      </c>
      <c r="B242" t="s">
        <v>267</v>
      </c>
      <c r="C242" t="s">
        <v>497</v>
      </c>
      <c r="D242" t="s">
        <v>7</v>
      </c>
    </row>
    <row r="243" spans="1:4" x14ac:dyDescent="0.25">
      <c r="A243" t="s">
        <v>498</v>
      </c>
      <c r="B243" t="s">
        <v>267</v>
      </c>
      <c r="C243" t="s">
        <v>499</v>
      </c>
      <c r="D243" t="s">
        <v>7</v>
      </c>
    </row>
    <row r="244" spans="1:4" x14ac:dyDescent="0.25">
      <c r="A244" t="s">
        <v>500</v>
      </c>
      <c r="B244" t="s">
        <v>267</v>
      </c>
      <c r="C244" t="s">
        <v>501</v>
      </c>
      <c r="D244" t="s">
        <v>7</v>
      </c>
    </row>
    <row r="245" spans="1:4" x14ac:dyDescent="0.25">
      <c r="A245" t="s">
        <v>502</v>
      </c>
      <c r="B245" t="s">
        <v>267</v>
      </c>
      <c r="C245" t="s">
        <v>503</v>
      </c>
      <c r="D245" t="s">
        <v>7</v>
      </c>
    </row>
    <row r="246" spans="1:4" x14ac:dyDescent="0.25">
      <c r="A246" t="s">
        <v>504</v>
      </c>
      <c r="B246" t="s">
        <v>267</v>
      </c>
      <c r="C246" t="s">
        <v>505</v>
      </c>
      <c r="D246" t="s">
        <v>7</v>
      </c>
    </row>
    <row r="247" spans="1:4" x14ac:dyDescent="0.25">
      <c r="A247" t="s">
        <v>506</v>
      </c>
      <c r="B247" t="s">
        <v>267</v>
      </c>
      <c r="C247" t="s">
        <v>507</v>
      </c>
      <c r="D247" t="s">
        <v>16</v>
      </c>
    </row>
    <row r="248" spans="1:4" x14ac:dyDescent="0.25">
      <c r="A248" t="s">
        <v>508</v>
      </c>
      <c r="B248" t="s">
        <v>267</v>
      </c>
      <c r="C248" t="s">
        <v>509</v>
      </c>
      <c r="D248" t="s">
        <v>7</v>
      </c>
    </row>
    <row r="249" spans="1:4" x14ac:dyDescent="0.25">
      <c r="A249" t="s">
        <v>510</v>
      </c>
      <c r="B249" t="s">
        <v>267</v>
      </c>
      <c r="C249" t="s">
        <v>511</v>
      </c>
      <c r="D249" t="s">
        <v>50</v>
      </c>
    </row>
    <row r="250" spans="1:4" x14ac:dyDescent="0.25">
      <c r="A250" t="s">
        <v>512</v>
      </c>
      <c r="B250" t="s">
        <v>267</v>
      </c>
      <c r="C250" t="s">
        <v>513</v>
      </c>
      <c r="D250" t="s">
        <v>16</v>
      </c>
    </row>
    <row r="251" spans="1:4" x14ac:dyDescent="0.25">
      <c r="A251" t="s">
        <v>514</v>
      </c>
      <c r="B251" t="s">
        <v>267</v>
      </c>
      <c r="C251" t="s">
        <v>515</v>
      </c>
      <c r="D251" t="s">
        <v>16</v>
      </c>
    </row>
    <row r="252" spans="1:4" x14ac:dyDescent="0.25">
      <c r="A252" t="s">
        <v>516</v>
      </c>
      <c r="B252" t="s">
        <v>267</v>
      </c>
      <c r="C252" t="s">
        <v>517</v>
      </c>
      <c r="D252" t="s">
        <v>106</v>
      </c>
    </row>
    <row r="253" spans="1:4" x14ac:dyDescent="0.25">
      <c r="A253" t="s">
        <v>518</v>
      </c>
      <c r="B253" t="s">
        <v>267</v>
      </c>
      <c r="C253" t="s">
        <v>519</v>
      </c>
      <c r="D253" t="s">
        <v>106</v>
      </c>
    </row>
    <row r="254" spans="1:4" x14ac:dyDescent="0.25">
      <c r="A254" t="s">
        <v>520</v>
      </c>
      <c r="B254" t="s">
        <v>267</v>
      </c>
      <c r="C254" t="s">
        <v>521</v>
      </c>
      <c r="D254" t="s">
        <v>16</v>
      </c>
    </row>
    <row r="255" spans="1:4" x14ac:dyDescent="0.25">
      <c r="A255" t="s">
        <v>522</v>
      </c>
      <c r="B255" t="s">
        <v>267</v>
      </c>
      <c r="C255" t="s">
        <v>523</v>
      </c>
      <c r="D255" t="s">
        <v>106</v>
      </c>
    </row>
    <row r="256" spans="1:4" x14ac:dyDescent="0.25">
      <c r="A256" t="s">
        <v>524</v>
      </c>
      <c r="B256" t="s">
        <v>267</v>
      </c>
      <c r="C256" t="s">
        <v>525</v>
      </c>
      <c r="D256" t="s">
        <v>16</v>
      </c>
    </row>
    <row r="257" spans="1:4" x14ac:dyDescent="0.25">
      <c r="A257" t="s">
        <v>526</v>
      </c>
      <c r="B257" t="s">
        <v>267</v>
      </c>
      <c r="C257" t="s">
        <v>527</v>
      </c>
      <c r="D257" t="s">
        <v>16</v>
      </c>
    </row>
    <row r="258" spans="1:4" x14ac:dyDescent="0.25">
      <c r="A258" t="s">
        <v>528</v>
      </c>
      <c r="B258" t="s">
        <v>267</v>
      </c>
      <c r="C258" t="s">
        <v>529</v>
      </c>
      <c r="D258" t="s">
        <v>106</v>
      </c>
    </row>
    <row r="259" spans="1:4" x14ac:dyDescent="0.25">
      <c r="A259" t="s">
        <v>530</v>
      </c>
      <c r="B259" t="s">
        <v>267</v>
      </c>
      <c r="C259" t="s">
        <v>531</v>
      </c>
      <c r="D259" t="s">
        <v>532</v>
      </c>
    </row>
    <row r="260" spans="1:4" x14ac:dyDescent="0.25">
      <c r="A260" t="s">
        <v>533</v>
      </c>
      <c r="B260" t="s">
        <v>267</v>
      </c>
      <c r="C260" t="s">
        <v>534</v>
      </c>
      <c r="D260" t="s">
        <v>65</v>
      </c>
    </row>
    <row r="261" spans="1:4" x14ac:dyDescent="0.25">
      <c r="A261" t="s">
        <v>535</v>
      </c>
      <c r="B261" t="s">
        <v>267</v>
      </c>
      <c r="C261" t="s">
        <v>536</v>
      </c>
      <c r="D261" t="s">
        <v>16</v>
      </c>
    </row>
    <row r="262" spans="1:4" x14ac:dyDescent="0.25">
      <c r="A262" t="s">
        <v>537</v>
      </c>
      <c r="B262" t="s">
        <v>267</v>
      </c>
      <c r="C262" t="s">
        <v>538</v>
      </c>
      <c r="D262" t="s">
        <v>106</v>
      </c>
    </row>
    <row r="263" spans="1:4" x14ac:dyDescent="0.25">
      <c r="A263" t="s">
        <v>539</v>
      </c>
      <c r="B263" t="s">
        <v>267</v>
      </c>
      <c r="C263" t="s">
        <v>540</v>
      </c>
      <c r="D263" t="s">
        <v>532</v>
      </c>
    </row>
    <row r="264" spans="1:4" x14ac:dyDescent="0.25">
      <c r="A264" t="s">
        <v>541</v>
      </c>
      <c r="B264" t="s">
        <v>267</v>
      </c>
      <c r="C264" t="s">
        <v>542</v>
      </c>
      <c r="D264" t="s">
        <v>532</v>
      </c>
    </row>
    <row r="265" spans="1:4" x14ac:dyDescent="0.25">
      <c r="A265" t="s">
        <v>543</v>
      </c>
      <c r="B265" t="s">
        <v>267</v>
      </c>
      <c r="C265" t="s">
        <v>544</v>
      </c>
      <c r="D265" t="s">
        <v>106</v>
      </c>
    </row>
    <row r="266" spans="1:4" x14ac:dyDescent="0.25">
      <c r="A266" t="s">
        <v>545</v>
      </c>
      <c r="B266" t="s">
        <v>267</v>
      </c>
      <c r="C266" t="s">
        <v>546</v>
      </c>
      <c r="D266" t="s">
        <v>329</v>
      </c>
    </row>
    <row r="267" spans="1:4" x14ac:dyDescent="0.25">
      <c r="A267" t="s">
        <v>547</v>
      </c>
      <c r="B267" t="s">
        <v>267</v>
      </c>
      <c r="C267" t="s">
        <v>548</v>
      </c>
      <c r="D267" t="s">
        <v>329</v>
      </c>
    </row>
    <row r="268" spans="1:4" x14ac:dyDescent="0.25">
      <c r="A268" t="s">
        <v>549</v>
      </c>
      <c r="B268" t="s">
        <v>267</v>
      </c>
      <c r="C268" t="s">
        <v>550</v>
      </c>
      <c r="D268" t="s">
        <v>329</v>
      </c>
    </row>
    <row r="269" spans="1:4" x14ac:dyDescent="0.25">
      <c r="A269" t="s">
        <v>551</v>
      </c>
      <c r="B269" t="s">
        <v>267</v>
      </c>
      <c r="C269" t="s">
        <v>552</v>
      </c>
      <c r="D269" t="s">
        <v>329</v>
      </c>
    </row>
    <row r="270" spans="1:4" x14ac:dyDescent="0.25">
      <c r="A270" t="s">
        <v>553</v>
      </c>
      <c r="B270" t="s">
        <v>267</v>
      </c>
      <c r="C270" t="s">
        <v>554</v>
      </c>
      <c r="D270" t="s">
        <v>329</v>
      </c>
    </row>
    <row r="271" spans="1:4" x14ac:dyDescent="0.25">
      <c r="A271" t="s">
        <v>555</v>
      </c>
      <c r="B271" t="s">
        <v>267</v>
      </c>
      <c r="C271" t="s">
        <v>556</v>
      </c>
      <c r="D271" t="s">
        <v>329</v>
      </c>
    </row>
    <row r="272" spans="1:4" x14ac:dyDescent="0.25">
      <c r="A272" t="s">
        <v>557</v>
      </c>
      <c r="B272" t="s">
        <v>267</v>
      </c>
      <c r="C272" t="s">
        <v>558</v>
      </c>
      <c r="D272" t="s">
        <v>7</v>
      </c>
    </row>
    <row r="273" spans="1:4" x14ac:dyDescent="0.25">
      <c r="A273" t="s">
        <v>559</v>
      </c>
      <c r="B273" t="s">
        <v>267</v>
      </c>
      <c r="C273" t="s">
        <v>560</v>
      </c>
      <c r="D273" t="s">
        <v>16</v>
      </c>
    </row>
    <row r="274" spans="1:4" x14ac:dyDescent="0.25">
      <c r="A274" t="s">
        <v>561</v>
      </c>
      <c r="B274" t="s">
        <v>267</v>
      </c>
      <c r="C274" t="s">
        <v>562</v>
      </c>
      <c r="D274" t="s">
        <v>106</v>
      </c>
    </row>
    <row r="275" spans="1:4" x14ac:dyDescent="0.25">
      <c r="A275" t="s">
        <v>563</v>
      </c>
      <c r="B275" t="s">
        <v>267</v>
      </c>
      <c r="C275" t="s">
        <v>564</v>
      </c>
      <c r="D275" t="s">
        <v>106</v>
      </c>
    </row>
    <row r="276" spans="1:4" x14ac:dyDescent="0.25">
      <c r="A276" t="s">
        <v>565</v>
      </c>
      <c r="B276" t="s">
        <v>267</v>
      </c>
      <c r="C276" t="s">
        <v>566</v>
      </c>
      <c r="D276" t="s">
        <v>532</v>
      </c>
    </row>
    <row r="277" spans="1:4" x14ac:dyDescent="0.25">
      <c r="A277" t="s">
        <v>567</v>
      </c>
      <c r="B277" t="s">
        <v>267</v>
      </c>
      <c r="C277" t="s">
        <v>568</v>
      </c>
      <c r="D277" t="s">
        <v>106</v>
      </c>
    </row>
    <row r="278" spans="1:4" x14ac:dyDescent="0.25">
      <c r="A278" t="s">
        <v>569</v>
      </c>
      <c r="B278" t="s">
        <v>267</v>
      </c>
      <c r="C278" t="s">
        <v>570</v>
      </c>
      <c r="D278" t="s">
        <v>50</v>
      </c>
    </row>
    <row r="279" spans="1:4" x14ac:dyDescent="0.25">
      <c r="A279" t="s">
        <v>571</v>
      </c>
      <c r="B279" t="s">
        <v>267</v>
      </c>
      <c r="C279" t="s">
        <v>572</v>
      </c>
      <c r="D279" t="s">
        <v>50</v>
      </c>
    </row>
    <row r="280" spans="1:4" x14ac:dyDescent="0.25">
      <c r="A280" t="s">
        <v>573</v>
      </c>
      <c r="B280" t="s">
        <v>267</v>
      </c>
      <c r="C280" t="s">
        <v>574</v>
      </c>
      <c r="D280" t="s">
        <v>50</v>
      </c>
    </row>
    <row r="281" spans="1:4" x14ac:dyDescent="0.25">
      <c r="A281" t="s">
        <v>575</v>
      </c>
      <c r="B281" t="s">
        <v>267</v>
      </c>
      <c r="C281" t="s">
        <v>381</v>
      </c>
      <c r="D281" t="s">
        <v>7</v>
      </c>
    </row>
    <row r="282" spans="1:4" x14ac:dyDescent="0.25">
      <c r="A282" t="s">
        <v>576</v>
      </c>
      <c r="B282" t="s">
        <v>267</v>
      </c>
      <c r="C282" t="s">
        <v>577</v>
      </c>
      <c r="D282" t="s">
        <v>50</v>
      </c>
    </row>
    <row r="283" spans="1:4" x14ac:dyDescent="0.25">
      <c r="A283" t="s">
        <v>578</v>
      </c>
      <c r="B283" t="s">
        <v>267</v>
      </c>
      <c r="C283" t="s">
        <v>579</v>
      </c>
      <c r="D283" t="s">
        <v>50</v>
      </c>
    </row>
    <row r="284" spans="1:4" x14ac:dyDescent="0.25">
      <c r="A284" t="s">
        <v>580</v>
      </c>
      <c r="B284" t="s">
        <v>267</v>
      </c>
      <c r="C284" t="s">
        <v>581</v>
      </c>
      <c r="D284" t="s">
        <v>50</v>
      </c>
    </row>
    <row r="285" spans="1:4" x14ac:dyDescent="0.25">
      <c r="A285" t="s">
        <v>582</v>
      </c>
      <c r="B285" t="s">
        <v>267</v>
      </c>
      <c r="C285" t="s">
        <v>583</v>
      </c>
      <c r="D285" t="s">
        <v>532</v>
      </c>
    </row>
    <row r="286" spans="1:4" x14ac:dyDescent="0.25">
      <c r="A286" t="s">
        <v>584</v>
      </c>
      <c r="B286" t="s">
        <v>267</v>
      </c>
      <c r="C286" t="s">
        <v>585</v>
      </c>
      <c r="D286" t="s">
        <v>7</v>
      </c>
    </row>
    <row r="287" spans="1:4" x14ac:dyDescent="0.25">
      <c r="A287" t="s">
        <v>586</v>
      </c>
      <c r="B287" t="s">
        <v>267</v>
      </c>
      <c r="C287" t="s">
        <v>587</v>
      </c>
      <c r="D287" t="s">
        <v>532</v>
      </c>
    </row>
    <row r="288" spans="1:4" x14ac:dyDescent="0.25">
      <c r="A288" t="s">
        <v>588</v>
      </c>
      <c r="B288" t="s">
        <v>267</v>
      </c>
      <c r="C288" t="s">
        <v>589</v>
      </c>
      <c r="D288" t="s">
        <v>532</v>
      </c>
    </row>
    <row r="289" spans="1:4" x14ac:dyDescent="0.25">
      <c r="A289" t="s">
        <v>590</v>
      </c>
      <c r="B289" t="s">
        <v>267</v>
      </c>
      <c r="C289" t="s">
        <v>591</v>
      </c>
      <c r="D289" t="s">
        <v>7</v>
      </c>
    </row>
    <row r="290" spans="1:4" x14ac:dyDescent="0.25">
      <c r="A290" t="s">
        <v>592</v>
      </c>
      <c r="B290" t="s">
        <v>267</v>
      </c>
      <c r="C290" t="s">
        <v>593</v>
      </c>
      <c r="D290" t="s">
        <v>7</v>
      </c>
    </row>
    <row r="291" spans="1:4" x14ac:dyDescent="0.25">
      <c r="A291" t="s">
        <v>594</v>
      </c>
      <c r="B291" t="s">
        <v>267</v>
      </c>
      <c r="C291" t="s">
        <v>595</v>
      </c>
      <c r="D291" t="s">
        <v>7</v>
      </c>
    </row>
    <row r="292" spans="1:4" x14ac:dyDescent="0.25">
      <c r="A292" t="s">
        <v>596</v>
      </c>
      <c r="B292" t="s">
        <v>267</v>
      </c>
      <c r="C292" t="s">
        <v>597</v>
      </c>
      <c r="D292" t="s">
        <v>532</v>
      </c>
    </row>
    <row r="293" spans="1:4" x14ac:dyDescent="0.25">
      <c r="A293" t="s">
        <v>598</v>
      </c>
      <c r="B293" t="s">
        <v>267</v>
      </c>
      <c r="C293" t="s">
        <v>599</v>
      </c>
      <c r="D293" t="s">
        <v>16</v>
      </c>
    </row>
    <row r="294" spans="1:4" x14ac:dyDescent="0.25">
      <c r="A294" t="s">
        <v>600</v>
      </c>
      <c r="B294" t="s">
        <v>267</v>
      </c>
      <c r="C294" t="s">
        <v>601</v>
      </c>
      <c r="D294" t="s">
        <v>106</v>
      </c>
    </row>
    <row r="295" spans="1:4" x14ac:dyDescent="0.25">
      <c r="A295" t="s">
        <v>602</v>
      </c>
      <c r="B295" t="s">
        <v>267</v>
      </c>
      <c r="C295" t="s">
        <v>603</v>
      </c>
      <c r="D295" t="s">
        <v>532</v>
      </c>
    </row>
    <row r="296" spans="1:4" x14ac:dyDescent="0.25">
      <c r="A296" t="s">
        <v>604</v>
      </c>
      <c r="B296" t="s">
        <v>267</v>
      </c>
      <c r="C296" t="s">
        <v>605</v>
      </c>
      <c r="D296" t="s">
        <v>106</v>
      </c>
    </row>
    <row r="297" spans="1:4" x14ac:dyDescent="0.25">
      <c r="A297" t="s">
        <v>606</v>
      </c>
      <c r="B297" t="s">
        <v>267</v>
      </c>
      <c r="C297" t="s">
        <v>607</v>
      </c>
      <c r="D297" t="s">
        <v>7</v>
      </c>
    </row>
    <row r="298" spans="1:4" x14ac:dyDescent="0.25">
      <c r="A298" t="s">
        <v>608</v>
      </c>
      <c r="B298" t="s">
        <v>267</v>
      </c>
      <c r="C298" t="s">
        <v>609</v>
      </c>
      <c r="D298" t="s">
        <v>7</v>
      </c>
    </row>
    <row r="299" spans="1:4" x14ac:dyDescent="0.25">
      <c r="A299" t="s">
        <v>610</v>
      </c>
      <c r="B299" t="s">
        <v>267</v>
      </c>
      <c r="C299" t="s">
        <v>611</v>
      </c>
      <c r="D299" t="s">
        <v>532</v>
      </c>
    </row>
    <row r="300" spans="1:4" x14ac:dyDescent="0.25">
      <c r="A300" t="s">
        <v>612</v>
      </c>
      <c r="B300" t="s">
        <v>267</v>
      </c>
      <c r="C300" t="s">
        <v>613</v>
      </c>
      <c r="D300" t="s">
        <v>16</v>
      </c>
    </row>
    <row r="301" spans="1:4" x14ac:dyDescent="0.25">
      <c r="A301" t="s">
        <v>614</v>
      </c>
      <c r="B301" t="s">
        <v>267</v>
      </c>
      <c r="C301" t="s">
        <v>615</v>
      </c>
      <c r="D301" t="s">
        <v>532</v>
      </c>
    </row>
    <row r="302" spans="1:4" x14ac:dyDescent="0.25">
      <c r="A302" t="s">
        <v>616</v>
      </c>
      <c r="B302" t="s">
        <v>267</v>
      </c>
      <c r="C302" t="s">
        <v>617</v>
      </c>
      <c r="D302" t="s">
        <v>7</v>
      </c>
    </row>
    <row r="303" spans="1:4" x14ac:dyDescent="0.25">
      <c r="A303" t="s">
        <v>618</v>
      </c>
      <c r="B303" t="s">
        <v>267</v>
      </c>
      <c r="C303" t="s">
        <v>619</v>
      </c>
      <c r="D303" t="s">
        <v>532</v>
      </c>
    </row>
    <row r="304" spans="1:4" x14ac:dyDescent="0.25">
      <c r="A304" t="s">
        <v>620</v>
      </c>
      <c r="B304" t="s">
        <v>267</v>
      </c>
      <c r="C304" t="s">
        <v>621</v>
      </c>
      <c r="D304" t="s">
        <v>16</v>
      </c>
    </row>
    <row r="305" spans="1:4" x14ac:dyDescent="0.25">
      <c r="A305" t="s">
        <v>622</v>
      </c>
      <c r="B305" t="s">
        <v>267</v>
      </c>
      <c r="C305" t="s">
        <v>623</v>
      </c>
      <c r="D305" t="s">
        <v>106</v>
      </c>
    </row>
    <row r="306" spans="1:4" x14ac:dyDescent="0.25">
      <c r="A306" t="s">
        <v>624</v>
      </c>
      <c r="B306" t="s">
        <v>267</v>
      </c>
      <c r="C306" t="s">
        <v>625</v>
      </c>
      <c r="D306" t="s">
        <v>7</v>
      </c>
    </row>
    <row r="307" spans="1:4" x14ac:dyDescent="0.25">
      <c r="A307" t="s">
        <v>626</v>
      </c>
      <c r="B307" t="s">
        <v>267</v>
      </c>
      <c r="C307" t="s">
        <v>627</v>
      </c>
      <c r="D307" t="s">
        <v>16</v>
      </c>
    </row>
    <row r="308" spans="1:4" x14ac:dyDescent="0.25">
      <c r="A308" t="s">
        <v>628</v>
      </c>
      <c r="B308" t="s">
        <v>267</v>
      </c>
      <c r="C308" t="s">
        <v>629</v>
      </c>
      <c r="D308" t="s">
        <v>16</v>
      </c>
    </row>
    <row r="309" spans="1:4" x14ac:dyDescent="0.25">
      <c r="A309" t="s">
        <v>630</v>
      </c>
      <c r="B309" t="s">
        <v>267</v>
      </c>
      <c r="C309" t="s">
        <v>631</v>
      </c>
      <c r="D309" t="s">
        <v>7</v>
      </c>
    </row>
    <row r="316" spans="1:4" x14ac:dyDescent="0.25">
      <c r="A316" t="s">
        <v>632</v>
      </c>
      <c r="B316" t="s">
        <v>633</v>
      </c>
      <c r="C316" t="s">
        <v>634</v>
      </c>
      <c r="D316" t="s">
        <v>16</v>
      </c>
    </row>
    <row r="317" spans="1:4" x14ac:dyDescent="0.25">
      <c r="A317" t="s">
        <v>635</v>
      </c>
      <c r="B317" t="s">
        <v>633</v>
      </c>
      <c r="C317" t="s">
        <v>636</v>
      </c>
      <c r="D317" t="s">
        <v>16</v>
      </c>
    </row>
    <row r="318" spans="1:4" x14ac:dyDescent="0.25">
      <c r="A318" t="s">
        <v>637</v>
      </c>
      <c r="B318" t="s">
        <v>633</v>
      </c>
      <c r="C318" t="s">
        <v>638</v>
      </c>
      <c r="D318" t="s">
        <v>16</v>
      </c>
    </row>
    <row r="319" spans="1:4" x14ac:dyDescent="0.25">
      <c r="A319" t="s">
        <v>639</v>
      </c>
      <c r="B319" t="s">
        <v>633</v>
      </c>
      <c r="C319" t="s">
        <v>640</v>
      </c>
      <c r="D319" t="s">
        <v>16</v>
      </c>
    </row>
    <row r="320" spans="1:4" x14ac:dyDescent="0.25">
      <c r="A320" t="s">
        <v>641</v>
      </c>
      <c r="B320" t="s">
        <v>633</v>
      </c>
      <c r="C320" t="s">
        <v>642</v>
      </c>
      <c r="D320" t="s">
        <v>16</v>
      </c>
    </row>
    <row r="321" spans="1:4" x14ac:dyDescent="0.25">
      <c r="A321" t="s">
        <v>643</v>
      </c>
      <c r="B321" t="s">
        <v>633</v>
      </c>
      <c r="C321" t="s">
        <v>644</v>
      </c>
      <c r="D321" t="s">
        <v>16</v>
      </c>
    </row>
    <row r="322" spans="1:4" x14ac:dyDescent="0.25">
      <c r="A322" t="s">
        <v>645</v>
      </c>
      <c r="B322" t="s">
        <v>633</v>
      </c>
      <c r="C322" t="s">
        <v>646</v>
      </c>
      <c r="D322" t="s">
        <v>16</v>
      </c>
    </row>
    <row r="323" spans="1:4" x14ac:dyDescent="0.25">
      <c r="A323" t="s">
        <v>647</v>
      </c>
      <c r="B323" t="s">
        <v>633</v>
      </c>
      <c r="C323" t="s">
        <v>648</v>
      </c>
      <c r="D323" t="s">
        <v>16</v>
      </c>
    </row>
    <row r="324" spans="1:4" x14ac:dyDescent="0.25">
      <c r="A324" t="s">
        <v>649</v>
      </c>
      <c r="B324" t="s">
        <v>633</v>
      </c>
      <c r="C324" t="s">
        <v>650</v>
      </c>
      <c r="D324" t="s">
        <v>16</v>
      </c>
    </row>
    <row r="325" spans="1:4" x14ac:dyDescent="0.25">
      <c r="A325" t="s">
        <v>651</v>
      </c>
      <c r="B325" t="s">
        <v>633</v>
      </c>
      <c r="C325" t="s">
        <v>652</v>
      </c>
      <c r="D325" t="s">
        <v>16</v>
      </c>
    </row>
    <row r="326" spans="1:4" x14ac:dyDescent="0.25">
      <c r="A326" t="s">
        <v>653</v>
      </c>
      <c r="B326" t="s">
        <v>633</v>
      </c>
      <c r="C326" t="s">
        <v>654</v>
      </c>
      <c r="D326" t="s">
        <v>16</v>
      </c>
    </row>
    <row r="327" spans="1:4" x14ac:dyDescent="0.25">
      <c r="A327" t="s">
        <v>655</v>
      </c>
      <c r="B327" t="s">
        <v>633</v>
      </c>
      <c r="C327" t="s">
        <v>656</v>
      </c>
      <c r="D327" t="s">
        <v>16</v>
      </c>
    </row>
    <row r="328" spans="1:4" x14ac:dyDescent="0.25">
      <c r="A328" t="s">
        <v>657</v>
      </c>
      <c r="B328" t="s">
        <v>633</v>
      </c>
      <c r="C328" t="s">
        <v>658</v>
      </c>
      <c r="D328" t="s">
        <v>16</v>
      </c>
    </row>
    <row r="329" spans="1:4" x14ac:dyDescent="0.25">
      <c r="A329" t="s">
        <v>659</v>
      </c>
      <c r="B329" t="s">
        <v>633</v>
      </c>
      <c r="C329" t="s">
        <v>660</v>
      </c>
      <c r="D329" t="s">
        <v>16</v>
      </c>
    </row>
    <row r="330" spans="1:4" x14ac:dyDescent="0.25">
      <c r="A330" t="s">
        <v>661</v>
      </c>
      <c r="B330" t="s">
        <v>633</v>
      </c>
      <c r="C330" t="s">
        <v>662</v>
      </c>
      <c r="D330" t="s">
        <v>16</v>
      </c>
    </row>
    <row r="331" spans="1:4" x14ac:dyDescent="0.25">
      <c r="A331" t="s">
        <v>663</v>
      </c>
      <c r="B331" t="s">
        <v>633</v>
      </c>
      <c r="C331" t="s">
        <v>664</v>
      </c>
      <c r="D331" t="s">
        <v>16</v>
      </c>
    </row>
    <row r="332" spans="1:4" x14ac:dyDescent="0.25">
      <c r="A332" t="s">
        <v>665</v>
      </c>
      <c r="B332" t="s">
        <v>633</v>
      </c>
      <c r="C332" t="s">
        <v>666</v>
      </c>
      <c r="D332" t="s">
        <v>16</v>
      </c>
    </row>
    <row r="333" spans="1:4" x14ac:dyDescent="0.25">
      <c r="A333" t="s">
        <v>667</v>
      </c>
      <c r="B333" t="s">
        <v>633</v>
      </c>
      <c r="C333" t="s">
        <v>668</v>
      </c>
      <c r="D333" t="s">
        <v>16</v>
      </c>
    </row>
    <row r="334" spans="1:4" x14ac:dyDescent="0.25">
      <c r="A334" t="s">
        <v>669</v>
      </c>
      <c r="B334" t="s">
        <v>633</v>
      </c>
      <c r="C334" t="s">
        <v>670</v>
      </c>
      <c r="D334" t="s">
        <v>16</v>
      </c>
    </row>
    <row r="335" spans="1:4" x14ac:dyDescent="0.25">
      <c r="A335" t="s">
        <v>671</v>
      </c>
      <c r="B335" t="s">
        <v>633</v>
      </c>
      <c r="C335" t="s">
        <v>672</v>
      </c>
      <c r="D335" t="s">
        <v>24</v>
      </c>
    </row>
    <row r="336" spans="1:4" x14ac:dyDescent="0.25">
      <c r="A336" t="s">
        <v>673</v>
      </c>
      <c r="B336" t="s">
        <v>633</v>
      </c>
      <c r="C336" t="s">
        <v>674</v>
      </c>
      <c r="D336" t="s">
        <v>24</v>
      </c>
    </row>
    <row r="337" spans="1:4" x14ac:dyDescent="0.25">
      <c r="A337" t="s">
        <v>675</v>
      </c>
      <c r="B337" t="s">
        <v>633</v>
      </c>
      <c r="C337" t="s">
        <v>676</v>
      </c>
      <c r="D337" t="s">
        <v>24</v>
      </c>
    </row>
    <row r="338" spans="1:4" x14ac:dyDescent="0.25">
      <c r="A338" t="s">
        <v>677</v>
      </c>
      <c r="B338" t="s">
        <v>633</v>
      </c>
      <c r="C338" t="s">
        <v>678</v>
      </c>
      <c r="D338" t="s">
        <v>24</v>
      </c>
    </row>
    <row r="339" spans="1:4" x14ac:dyDescent="0.25">
      <c r="A339" t="s">
        <v>679</v>
      </c>
      <c r="B339" t="s">
        <v>633</v>
      </c>
      <c r="C339" t="s">
        <v>680</v>
      </c>
      <c r="D339" t="s">
        <v>24</v>
      </c>
    </row>
    <row r="340" spans="1:4" x14ac:dyDescent="0.25">
      <c r="A340" t="s">
        <v>681</v>
      </c>
      <c r="B340" t="s">
        <v>633</v>
      </c>
      <c r="C340" t="s">
        <v>682</v>
      </c>
      <c r="D340" t="s">
        <v>24</v>
      </c>
    </row>
    <row r="341" spans="1:4" x14ac:dyDescent="0.25">
      <c r="A341" t="s">
        <v>683</v>
      </c>
      <c r="B341" t="s">
        <v>633</v>
      </c>
      <c r="C341" t="s">
        <v>684</v>
      </c>
      <c r="D341" t="s">
        <v>24</v>
      </c>
    </row>
    <row r="342" spans="1:4" x14ac:dyDescent="0.25">
      <c r="A342" t="s">
        <v>685</v>
      </c>
      <c r="B342" t="s">
        <v>633</v>
      </c>
      <c r="C342" t="s">
        <v>686</v>
      </c>
      <c r="D342" t="s">
        <v>24</v>
      </c>
    </row>
    <row r="343" spans="1:4" x14ac:dyDescent="0.25">
      <c r="A343" t="s">
        <v>687</v>
      </c>
      <c r="B343" t="s">
        <v>633</v>
      </c>
      <c r="C343" t="s">
        <v>688</v>
      </c>
      <c r="D343" t="s">
        <v>16</v>
      </c>
    </row>
    <row r="344" spans="1:4" x14ac:dyDescent="0.25">
      <c r="A344" t="s">
        <v>689</v>
      </c>
      <c r="B344" t="s">
        <v>633</v>
      </c>
      <c r="C344" t="s">
        <v>690</v>
      </c>
      <c r="D344" t="s">
        <v>691</v>
      </c>
    </row>
    <row r="345" spans="1:4" x14ac:dyDescent="0.25">
      <c r="A345" t="s">
        <v>692</v>
      </c>
      <c r="B345" t="s">
        <v>633</v>
      </c>
      <c r="C345" t="s">
        <v>693</v>
      </c>
      <c r="D345" t="s">
        <v>691</v>
      </c>
    </row>
    <row r="346" spans="1:4" x14ac:dyDescent="0.25">
      <c r="A346" t="s">
        <v>694</v>
      </c>
      <c r="B346" t="s">
        <v>633</v>
      </c>
      <c r="C346" t="s">
        <v>695</v>
      </c>
      <c r="D346" t="s">
        <v>16</v>
      </c>
    </row>
    <row r="347" spans="1:4" x14ac:dyDescent="0.25">
      <c r="A347" t="s">
        <v>696</v>
      </c>
      <c r="B347" t="s">
        <v>633</v>
      </c>
      <c r="C347" t="s">
        <v>697</v>
      </c>
      <c r="D347" t="s">
        <v>24</v>
      </c>
    </row>
    <row r="348" spans="1:4" x14ac:dyDescent="0.25">
      <c r="A348" t="s">
        <v>698</v>
      </c>
      <c r="B348" t="s">
        <v>633</v>
      </c>
      <c r="C348" t="s">
        <v>699</v>
      </c>
      <c r="D348" t="s">
        <v>16</v>
      </c>
    </row>
    <row r="349" spans="1:4" x14ac:dyDescent="0.25">
      <c r="A349" t="s">
        <v>700</v>
      </c>
      <c r="B349" t="s">
        <v>633</v>
      </c>
      <c r="C349" t="s">
        <v>701</v>
      </c>
      <c r="D349" t="s">
        <v>16</v>
      </c>
    </row>
    <row r="350" spans="1:4" x14ac:dyDescent="0.25">
      <c r="A350" t="s">
        <v>702</v>
      </c>
      <c r="B350" t="s">
        <v>633</v>
      </c>
      <c r="C350" t="s">
        <v>703</v>
      </c>
      <c r="D350" t="s">
        <v>24</v>
      </c>
    </row>
    <row r="351" spans="1:4" x14ac:dyDescent="0.25">
      <c r="A351" t="s">
        <v>704</v>
      </c>
      <c r="B351" t="s">
        <v>633</v>
      </c>
      <c r="C351" t="s">
        <v>705</v>
      </c>
      <c r="D351" t="s">
        <v>16</v>
      </c>
    </row>
    <row r="352" spans="1:4" x14ac:dyDescent="0.25">
      <c r="A352" t="s">
        <v>706</v>
      </c>
      <c r="B352" t="s">
        <v>633</v>
      </c>
      <c r="C352" t="s">
        <v>707</v>
      </c>
      <c r="D352" t="s">
        <v>16</v>
      </c>
    </row>
    <row r="353" spans="1:4" x14ac:dyDescent="0.25">
      <c r="A353" t="s">
        <v>708</v>
      </c>
      <c r="B353" t="s">
        <v>633</v>
      </c>
      <c r="C353" t="s">
        <v>709</v>
      </c>
      <c r="D353" t="s">
        <v>16</v>
      </c>
    </row>
    <row r="354" spans="1:4" x14ac:dyDescent="0.25">
      <c r="A354" t="s">
        <v>710</v>
      </c>
      <c r="B354" t="s">
        <v>633</v>
      </c>
      <c r="C354" t="s">
        <v>711</v>
      </c>
      <c r="D354" t="s">
        <v>16</v>
      </c>
    </row>
    <row r="355" spans="1:4" x14ac:dyDescent="0.25">
      <c r="A355" t="s">
        <v>712</v>
      </c>
      <c r="B355" t="s">
        <v>633</v>
      </c>
      <c r="C355" t="s">
        <v>713</v>
      </c>
      <c r="D355" t="s">
        <v>16</v>
      </c>
    </row>
    <row r="356" spans="1:4" x14ac:dyDescent="0.25">
      <c r="A356" t="s">
        <v>714</v>
      </c>
      <c r="B356" t="s">
        <v>633</v>
      </c>
      <c r="C356" t="s">
        <v>715</v>
      </c>
      <c r="D356" t="s">
        <v>16</v>
      </c>
    </row>
    <row r="357" spans="1:4" x14ac:dyDescent="0.25">
      <c r="A357" t="s">
        <v>716</v>
      </c>
      <c r="B357" t="s">
        <v>633</v>
      </c>
      <c r="C357" t="s">
        <v>717</v>
      </c>
      <c r="D357" t="s">
        <v>16</v>
      </c>
    </row>
    <row r="358" spans="1:4" x14ac:dyDescent="0.25">
      <c r="A358" t="s">
        <v>718</v>
      </c>
      <c r="B358" t="s">
        <v>633</v>
      </c>
      <c r="C358" t="s">
        <v>719</v>
      </c>
      <c r="D358" t="s">
        <v>16</v>
      </c>
    </row>
    <row r="359" spans="1:4" x14ac:dyDescent="0.25">
      <c r="A359" t="s">
        <v>720</v>
      </c>
      <c r="B359" t="s">
        <v>633</v>
      </c>
      <c r="C359" t="s">
        <v>721</v>
      </c>
      <c r="D359" t="s">
        <v>16</v>
      </c>
    </row>
    <row r="360" spans="1:4" x14ac:dyDescent="0.25">
      <c r="A360" t="s">
        <v>722</v>
      </c>
      <c r="B360" t="s">
        <v>633</v>
      </c>
      <c r="C360" t="s">
        <v>723</v>
      </c>
      <c r="D360" t="s">
        <v>24</v>
      </c>
    </row>
    <row r="361" spans="1:4" x14ac:dyDescent="0.25">
      <c r="A361" t="s">
        <v>724</v>
      </c>
      <c r="B361" t="s">
        <v>633</v>
      </c>
      <c r="C361" t="s">
        <v>725</v>
      </c>
      <c r="D361" t="s">
        <v>16</v>
      </c>
    </row>
    <row r="362" spans="1:4" x14ac:dyDescent="0.25">
      <c r="A362" t="s">
        <v>726</v>
      </c>
      <c r="B362" t="s">
        <v>633</v>
      </c>
      <c r="C362" t="s">
        <v>727</v>
      </c>
      <c r="D362" t="s">
        <v>16</v>
      </c>
    </row>
    <row r="363" spans="1:4" x14ac:dyDescent="0.25">
      <c r="A363" t="s">
        <v>728</v>
      </c>
      <c r="B363" t="s">
        <v>633</v>
      </c>
      <c r="C363" t="s">
        <v>729</v>
      </c>
      <c r="D363" t="s">
        <v>16</v>
      </c>
    </row>
    <row r="364" spans="1:4" x14ac:dyDescent="0.25">
      <c r="A364" t="s">
        <v>730</v>
      </c>
      <c r="B364" t="s">
        <v>633</v>
      </c>
      <c r="C364" t="s">
        <v>731</v>
      </c>
      <c r="D364" t="s">
        <v>16</v>
      </c>
    </row>
    <row r="365" spans="1:4" x14ac:dyDescent="0.25">
      <c r="A365" t="s">
        <v>732</v>
      </c>
      <c r="B365" t="s">
        <v>633</v>
      </c>
      <c r="C365" t="s">
        <v>733</v>
      </c>
      <c r="D365" t="s">
        <v>16</v>
      </c>
    </row>
    <row r="366" spans="1:4" x14ac:dyDescent="0.25">
      <c r="A366" t="s">
        <v>734</v>
      </c>
      <c r="B366" t="s">
        <v>633</v>
      </c>
      <c r="C366" t="s">
        <v>735</v>
      </c>
      <c r="D366" t="s">
        <v>16</v>
      </c>
    </row>
    <row r="367" spans="1:4" x14ac:dyDescent="0.25">
      <c r="A367" t="s">
        <v>736</v>
      </c>
      <c r="B367" t="s">
        <v>633</v>
      </c>
      <c r="C367" t="s">
        <v>737</v>
      </c>
      <c r="D367" t="s">
        <v>16</v>
      </c>
    </row>
    <row r="368" spans="1:4" x14ac:dyDescent="0.25">
      <c r="A368" t="s">
        <v>738</v>
      </c>
      <c r="B368" t="s">
        <v>633</v>
      </c>
      <c r="C368" t="s">
        <v>739</v>
      </c>
      <c r="D368" t="s">
        <v>16</v>
      </c>
    </row>
    <row r="369" spans="1:4" x14ac:dyDescent="0.25">
      <c r="A369" t="s">
        <v>740</v>
      </c>
      <c r="B369" t="s">
        <v>633</v>
      </c>
      <c r="C369" t="s">
        <v>741</v>
      </c>
      <c r="D369" t="s">
        <v>16</v>
      </c>
    </row>
    <row r="370" spans="1:4" x14ac:dyDescent="0.25">
      <c r="A370" t="s">
        <v>742</v>
      </c>
      <c r="B370" t="s">
        <v>633</v>
      </c>
      <c r="C370" t="s">
        <v>743</v>
      </c>
      <c r="D370" t="s">
        <v>16</v>
      </c>
    </row>
    <row r="371" spans="1:4" x14ac:dyDescent="0.25">
      <c r="A371" t="s">
        <v>744</v>
      </c>
      <c r="B371" t="s">
        <v>633</v>
      </c>
      <c r="C371" t="s">
        <v>745</v>
      </c>
      <c r="D371" t="s">
        <v>16</v>
      </c>
    </row>
    <row r="372" spans="1:4" x14ac:dyDescent="0.25">
      <c r="A372" t="s">
        <v>746</v>
      </c>
      <c r="B372" t="s">
        <v>633</v>
      </c>
      <c r="C372" t="s">
        <v>747</v>
      </c>
      <c r="D372" t="s">
        <v>16</v>
      </c>
    </row>
    <row r="373" spans="1:4" x14ac:dyDescent="0.25">
      <c r="A373" t="s">
        <v>748</v>
      </c>
      <c r="B373" t="s">
        <v>633</v>
      </c>
      <c r="C373" t="s">
        <v>749</v>
      </c>
      <c r="D373" t="s">
        <v>16</v>
      </c>
    </row>
    <row r="374" spans="1:4" x14ac:dyDescent="0.25">
      <c r="A374" t="s">
        <v>750</v>
      </c>
      <c r="B374" t="s">
        <v>633</v>
      </c>
      <c r="C374" t="s">
        <v>751</v>
      </c>
      <c r="D374" t="s">
        <v>16</v>
      </c>
    </row>
    <row r="375" spans="1:4" x14ac:dyDescent="0.25">
      <c r="A375" t="s">
        <v>752</v>
      </c>
      <c r="B375" t="s">
        <v>633</v>
      </c>
      <c r="C375" t="s">
        <v>753</v>
      </c>
      <c r="D375" t="s">
        <v>24</v>
      </c>
    </row>
    <row r="376" spans="1:4" x14ac:dyDescent="0.25">
      <c r="A376" t="s">
        <v>754</v>
      </c>
      <c r="B376" t="s">
        <v>633</v>
      </c>
      <c r="C376" t="s">
        <v>755</v>
      </c>
      <c r="D376" t="s">
        <v>16</v>
      </c>
    </row>
    <row r="377" spans="1:4" x14ac:dyDescent="0.25">
      <c r="A377" t="s">
        <v>756</v>
      </c>
      <c r="B377" t="s">
        <v>633</v>
      </c>
      <c r="C377" t="s">
        <v>757</v>
      </c>
      <c r="D377" t="s">
        <v>16</v>
      </c>
    </row>
    <row r="378" spans="1:4" x14ac:dyDescent="0.25">
      <c r="A378" t="s">
        <v>758</v>
      </c>
      <c r="B378" t="s">
        <v>633</v>
      </c>
      <c r="C378" t="s">
        <v>759</v>
      </c>
      <c r="D378" t="s">
        <v>16</v>
      </c>
    </row>
    <row r="379" spans="1:4" x14ac:dyDescent="0.25">
      <c r="A379" t="s">
        <v>760</v>
      </c>
      <c r="B379" t="s">
        <v>633</v>
      </c>
      <c r="C379" t="s">
        <v>761</v>
      </c>
      <c r="D379" t="s">
        <v>24</v>
      </c>
    </row>
    <row r="380" spans="1:4" x14ac:dyDescent="0.25">
      <c r="A380" t="s">
        <v>762</v>
      </c>
      <c r="B380" t="s">
        <v>633</v>
      </c>
      <c r="C380" t="s">
        <v>763</v>
      </c>
      <c r="D380" t="s">
        <v>16</v>
      </c>
    </row>
    <row r="381" spans="1:4" x14ac:dyDescent="0.25">
      <c r="A381" t="s">
        <v>764</v>
      </c>
      <c r="B381" t="s">
        <v>633</v>
      </c>
      <c r="C381" t="s">
        <v>765</v>
      </c>
      <c r="D381" t="s">
        <v>33</v>
      </c>
    </row>
    <row r="382" spans="1:4" x14ac:dyDescent="0.25">
      <c r="A382" t="s">
        <v>766</v>
      </c>
      <c r="B382" t="s">
        <v>633</v>
      </c>
      <c r="C382" t="s">
        <v>767</v>
      </c>
      <c r="D382" t="s">
        <v>16</v>
      </c>
    </row>
    <row r="383" spans="1:4" x14ac:dyDescent="0.25">
      <c r="A383" t="s">
        <v>768</v>
      </c>
      <c r="B383" t="s">
        <v>633</v>
      </c>
      <c r="C383" t="s">
        <v>769</v>
      </c>
      <c r="D383" t="s">
        <v>16</v>
      </c>
    </row>
    <row r="384" spans="1:4" x14ac:dyDescent="0.25">
      <c r="A384" t="s">
        <v>770</v>
      </c>
      <c r="B384" t="s">
        <v>633</v>
      </c>
      <c r="C384" t="s">
        <v>771</v>
      </c>
      <c r="D384" t="s">
        <v>16</v>
      </c>
    </row>
    <row r="385" spans="1:4" x14ac:dyDescent="0.25">
      <c r="A385" t="s">
        <v>772</v>
      </c>
      <c r="B385" t="s">
        <v>633</v>
      </c>
      <c r="C385" t="s">
        <v>773</v>
      </c>
      <c r="D385" t="s">
        <v>16</v>
      </c>
    </row>
    <row r="386" spans="1:4" x14ac:dyDescent="0.25">
      <c r="A386" t="s">
        <v>774</v>
      </c>
      <c r="B386" t="s">
        <v>633</v>
      </c>
      <c r="C386" t="s">
        <v>775</v>
      </c>
      <c r="D386" t="s">
        <v>7</v>
      </c>
    </row>
    <row r="387" spans="1:4" x14ac:dyDescent="0.25">
      <c r="A387" t="s">
        <v>776</v>
      </c>
      <c r="B387" t="s">
        <v>633</v>
      </c>
      <c r="C387" t="s">
        <v>777</v>
      </c>
      <c r="D387" t="s">
        <v>16</v>
      </c>
    </row>
    <row r="388" spans="1:4" x14ac:dyDescent="0.25">
      <c r="A388" t="s">
        <v>778</v>
      </c>
      <c r="B388" t="s">
        <v>633</v>
      </c>
      <c r="C388" t="s">
        <v>779</v>
      </c>
      <c r="D388" t="s">
        <v>16</v>
      </c>
    </row>
    <row r="389" spans="1:4" x14ac:dyDescent="0.25">
      <c r="A389" t="s">
        <v>780</v>
      </c>
      <c r="B389" t="s">
        <v>633</v>
      </c>
      <c r="C389" t="s">
        <v>781</v>
      </c>
      <c r="D389" t="s">
        <v>7</v>
      </c>
    </row>
    <row r="390" spans="1:4" x14ac:dyDescent="0.25">
      <c r="A390" t="s">
        <v>782</v>
      </c>
      <c r="B390" t="s">
        <v>633</v>
      </c>
      <c r="C390" t="s">
        <v>783</v>
      </c>
      <c r="D390" t="s">
        <v>16</v>
      </c>
    </row>
    <row r="391" spans="1:4" x14ac:dyDescent="0.25">
      <c r="A391" t="s">
        <v>784</v>
      </c>
      <c r="B391" t="s">
        <v>633</v>
      </c>
      <c r="C391" t="s">
        <v>785</v>
      </c>
      <c r="D391" t="s">
        <v>16</v>
      </c>
    </row>
    <row r="392" spans="1:4" x14ac:dyDescent="0.25">
      <c r="A392" t="s">
        <v>786</v>
      </c>
      <c r="B392" t="s">
        <v>633</v>
      </c>
      <c r="C392" t="s">
        <v>787</v>
      </c>
      <c r="D392" t="s">
        <v>16</v>
      </c>
    </row>
    <row r="393" spans="1:4" x14ac:dyDescent="0.25">
      <c r="A393" t="s">
        <v>788</v>
      </c>
      <c r="B393" t="s">
        <v>633</v>
      </c>
      <c r="C393" t="s">
        <v>789</v>
      </c>
      <c r="D393" t="s">
        <v>691</v>
      </c>
    </row>
    <row r="394" spans="1:4" x14ac:dyDescent="0.25">
      <c r="A394" t="s">
        <v>790</v>
      </c>
      <c r="B394" t="s">
        <v>633</v>
      </c>
      <c r="C394" t="s">
        <v>791</v>
      </c>
      <c r="D394" t="s">
        <v>691</v>
      </c>
    </row>
    <row r="395" spans="1:4" x14ac:dyDescent="0.25">
      <c r="A395" t="s">
        <v>792</v>
      </c>
      <c r="B395" t="s">
        <v>633</v>
      </c>
      <c r="C395" t="s">
        <v>793</v>
      </c>
      <c r="D395" t="s">
        <v>16</v>
      </c>
    </row>
    <row r="396" spans="1:4" x14ac:dyDescent="0.25">
      <c r="A396" t="s">
        <v>794</v>
      </c>
      <c r="B396" t="s">
        <v>633</v>
      </c>
      <c r="C396" t="s">
        <v>795</v>
      </c>
      <c r="D396" t="s">
        <v>16</v>
      </c>
    </row>
    <row r="397" spans="1:4" x14ac:dyDescent="0.25">
      <c r="A397" t="s">
        <v>796</v>
      </c>
      <c r="B397" t="s">
        <v>633</v>
      </c>
      <c r="C397" t="s">
        <v>797</v>
      </c>
      <c r="D397" t="s">
        <v>16</v>
      </c>
    </row>
    <row r="398" spans="1:4" x14ac:dyDescent="0.25">
      <c r="A398" t="s">
        <v>798</v>
      </c>
      <c r="B398" t="s">
        <v>633</v>
      </c>
      <c r="C398" t="s">
        <v>799</v>
      </c>
      <c r="D398" t="s">
        <v>16</v>
      </c>
    </row>
    <row r="399" spans="1:4" x14ac:dyDescent="0.25">
      <c r="A399" t="s">
        <v>800</v>
      </c>
      <c r="B399" t="s">
        <v>633</v>
      </c>
      <c r="C399" t="s">
        <v>801</v>
      </c>
      <c r="D399" t="s">
        <v>16</v>
      </c>
    </row>
    <row r="400" spans="1:4" x14ac:dyDescent="0.25">
      <c r="A400" t="s">
        <v>802</v>
      </c>
      <c r="B400" t="s">
        <v>633</v>
      </c>
      <c r="C400" t="s">
        <v>803</v>
      </c>
      <c r="D400" t="s">
        <v>16</v>
      </c>
    </row>
    <row r="401" spans="1:4" x14ac:dyDescent="0.25">
      <c r="A401" t="s">
        <v>804</v>
      </c>
      <c r="B401" t="s">
        <v>633</v>
      </c>
      <c r="C401" t="s">
        <v>805</v>
      </c>
      <c r="D401" t="s">
        <v>16</v>
      </c>
    </row>
    <row r="402" spans="1:4" x14ac:dyDescent="0.25">
      <c r="A402" t="s">
        <v>806</v>
      </c>
      <c r="B402" t="s">
        <v>633</v>
      </c>
      <c r="C402" t="s">
        <v>807</v>
      </c>
      <c r="D402" t="s">
        <v>16</v>
      </c>
    </row>
    <row r="403" spans="1:4" x14ac:dyDescent="0.25">
      <c r="A403" t="s">
        <v>808</v>
      </c>
      <c r="B403" t="s">
        <v>633</v>
      </c>
      <c r="C403" t="s">
        <v>809</v>
      </c>
      <c r="D403" t="s">
        <v>16</v>
      </c>
    </row>
    <row r="404" spans="1:4" x14ac:dyDescent="0.25">
      <c r="A404" t="s">
        <v>810</v>
      </c>
      <c r="B404" t="s">
        <v>633</v>
      </c>
      <c r="C404" t="s">
        <v>811</v>
      </c>
      <c r="D404" t="s">
        <v>16</v>
      </c>
    </row>
    <row r="405" spans="1:4" x14ac:dyDescent="0.25">
      <c r="A405" t="s">
        <v>812</v>
      </c>
      <c r="B405" t="s">
        <v>633</v>
      </c>
      <c r="C405" t="s">
        <v>813</v>
      </c>
      <c r="D405" t="s">
        <v>16</v>
      </c>
    </row>
    <row r="406" spans="1:4" x14ac:dyDescent="0.25">
      <c r="A406" t="s">
        <v>814</v>
      </c>
      <c r="B406" t="s">
        <v>633</v>
      </c>
      <c r="C406" t="s">
        <v>815</v>
      </c>
      <c r="D406" t="s">
        <v>16</v>
      </c>
    </row>
    <row r="407" spans="1:4" x14ac:dyDescent="0.25">
      <c r="A407" t="s">
        <v>816</v>
      </c>
      <c r="B407" t="s">
        <v>633</v>
      </c>
      <c r="C407" t="s">
        <v>817</v>
      </c>
      <c r="D407" t="s">
        <v>16</v>
      </c>
    </row>
    <row r="408" spans="1:4" x14ac:dyDescent="0.25">
      <c r="A408" t="s">
        <v>818</v>
      </c>
      <c r="B408" t="s">
        <v>633</v>
      </c>
      <c r="C408" t="s">
        <v>819</v>
      </c>
      <c r="D408" t="s">
        <v>691</v>
      </c>
    </row>
    <row r="409" spans="1:4" x14ac:dyDescent="0.25">
      <c r="A409" t="s">
        <v>820</v>
      </c>
      <c r="B409" t="s">
        <v>633</v>
      </c>
      <c r="C409" t="s">
        <v>821</v>
      </c>
      <c r="D409" t="s">
        <v>16</v>
      </c>
    </row>
    <row r="410" spans="1:4" x14ac:dyDescent="0.25">
      <c r="A410" t="s">
        <v>822</v>
      </c>
      <c r="B410" t="s">
        <v>633</v>
      </c>
      <c r="C410" t="s">
        <v>823</v>
      </c>
      <c r="D410" t="s">
        <v>691</v>
      </c>
    </row>
    <row r="411" spans="1:4" x14ac:dyDescent="0.25">
      <c r="A411" t="s">
        <v>824</v>
      </c>
      <c r="B411" t="s">
        <v>633</v>
      </c>
      <c r="C411" t="s">
        <v>825</v>
      </c>
      <c r="D411" t="s">
        <v>691</v>
      </c>
    </row>
    <row r="412" spans="1:4" x14ac:dyDescent="0.25">
      <c r="A412" t="s">
        <v>826</v>
      </c>
      <c r="B412" t="s">
        <v>633</v>
      </c>
      <c r="C412" t="s">
        <v>827</v>
      </c>
      <c r="D412" t="s">
        <v>16</v>
      </c>
    </row>
    <row r="413" spans="1:4" x14ac:dyDescent="0.25">
      <c r="A413" t="s">
        <v>828</v>
      </c>
      <c r="B413" t="s">
        <v>633</v>
      </c>
      <c r="C413" t="s">
        <v>829</v>
      </c>
      <c r="D413" t="s">
        <v>16</v>
      </c>
    </row>
    <row r="414" spans="1:4" x14ac:dyDescent="0.25">
      <c r="A414" t="s">
        <v>830</v>
      </c>
      <c r="B414" t="s">
        <v>633</v>
      </c>
      <c r="C414" t="s">
        <v>831</v>
      </c>
      <c r="D414" t="s">
        <v>16</v>
      </c>
    </row>
    <row r="415" spans="1:4" x14ac:dyDescent="0.25">
      <c r="A415" t="s">
        <v>832</v>
      </c>
      <c r="B415" t="s">
        <v>633</v>
      </c>
      <c r="C415" t="s">
        <v>833</v>
      </c>
      <c r="D415" t="s">
        <v>691</v>
      </c>
    </row>
    <row r="416" spans="1:4" x14ac:dyDescent="0.25">
      <c r="A416" t="s">
        <v>834</v>
      </c>
      <c r="B416" t="s">
        <v>633</v>
      </c>
      <c r="C416" t="s">
        <v>835</v>
      </c>
      <c r="D416" t="s">
        <v>691</v>
      </c>
    </row>
    <row r="417" spans="1:4" x14ac:dyDescent="0.25">
      <c r="A417" t="s">
        <v>836</v>
      </c>
      <c r="B417" t="s">
        <v>633</v>
      </c>
      <c r="C417" t="s">
        <v>837</v>
      </c>
      <c r="D417" t="s">
        <v>691</v>
      </c>
    </row>
    <row r="418" spans="1:4" x14ac:dyDescent="0.25">
      <c r="A418" t="s">
        <v>838</v>
      </c>
      <c r="B418" t="s">
        <v>633</v>
      </c>
      <c r="C418" t="s">
        <v>839</v>
      </c>
      <c r="D418" t="s">
        <v>691</v>
      </c>
    </row>
    <row r="419" spans="1:4" x14ac:dyDescent="0.25">
      <c r="A419" t="s">
        <v>840</v>
      </c>
      <c r="B419" t="s">
        <v>633</v>
      </c>
      <c r="C419" t="s">
        <v>841</v>
      </c>
      <c r="D419" t="s">
        <v>16</v>
      </c>
    </row>
    <row r="420" spans="1:4" x14ac:dyDescent="0.25">
      <c r="A420" t="s">
        <v>842</v>
      </c>
      <c r="B420" t="s">
        <v>633</v>
      </c>
      <c r="C420" t="s">
        <v>843</v>
      </c>
      <c r="D420" t="s">
        <v>16</v>
      </c>
    </row>
    <row r="421" spans="1:4" x14ac:dyDescent="0.25">
      <c r="A421" t="s">
        <v>844</v>
      </c>
      <c r="B421" t="s">
        <v>633</v>
      </c>
      <c r="C421" t="s">
        <v>845</v>
      </c>
      <c r="D421" t="s">
        <v>16</v>
      </c>
    </row>
    <row r="422" spans="1:4" x14ac:dyDescent="0.25">
      <c r="A422" t="s">
        <v>846</v>
      </c>
      <c r="B422" t="s">
        <v>633</v>
      </c>
      <c r="C422" t="s">
        <v>847</v>
      </c>
      <c r="D422" t="s">
        <v>16</v>
      </c>
    </row>
    <row r="423" spans="1:4" x14ac:dyDescent="0.25">
      <c r="A423" t="s">
        <v>848</v>
      </c>
      <c r="B423" t="s">
        <v>633</v>
      </c>
      <c r="C423" t="s">
        <v>849</v>
      </c>
      <c r="D423" t="s">
        <v>691</v>
      </c>
    </row>
    <row r="424" spans="1:4" x14ac:dyDescent="0.25">
      <c r="A424" t="s">
        <v>850</v>
      </c>
      <c r="B424" t="s">
        <v>633</v>
      </c>
      <c r="C424" t="s">
        <v>851</v>
      </c>
      <c r="D424" t="s">
        <v>16</v>
      </c>
    </row>
    <row r="425" spans="1:4" x14ac:dyDescent="0.25">
      <c r="A425" t="s">
        <v>852</v>
      </c>
      <c r="B425" t="s">
        <v>633</v>
      </c>
      <c r="C425" t="s">
        <v>853</v>
      </c>
      <c r="D425" t="s">
        <v>16</v>
      </c>
    </row>
    <row r="426" spans="1:4" x14ac:dyDescent="0.25">
      <c r="A426" t="s">
        <v>854</v>
      </c>
      <c r="B426" t="s">
        <v>633</v>
      </c>
      <c r="C426" t="s">
        <v>855</v>
      </c>
      <c r="D426" t="s">
        <v>16</v>
      </c>
    </row>
    <row r="427" spans="1:4" x14ac:dyDescent="0.25">
      <c r="A427" t="s">
        <v>856</v>
      </c>
      <c r="B427" t="s">
        <v>633</v>
      </c>
      <c r="C427" t="s">
        <v>857</v>
      </c>
      <c r="D427" t="s">
        <v>24</v>
      </c>
    </row>
    <row r="428" spans="1:4" x14ac:dyDescent="0.25">
      <c r="A428" t="s">
        <v>858</v>
      </c>
      <c r="B428" t="s">
        <v>633</v>
      </c>
      <c r="C428" t="s">
        <v>859</v>
      </c>
      <c r="D428" t="s">
        <v>16</v>
      </c>
    </row>
    <row r="429" spans="1:4" x14ac:dyDescent="0.25">
      <c r="A429" t="s">
        <v>860</v>
      </c>
      <c r="B429" t="s">
        <v>633</v>
      </c>
      <c r="C429" t="s">
        <v>861</v>
      </c>
    </row>
    <row r="430" spans="1:4" x14ac:dyDescent="0.25">
      <c r="A430" t="s">
        <v>862</v>
      </c>
      <c r="B430" t="s">
        <v>633</v>
      </c>
      <c r="C430" t="s">
        <v>863</v>
      </c>
      <c r="D430" t="s">
        <v>16</v>
      </c>
    </row>
    <row r="431" spans="1:4" x14ac:dyDescent="0.25">
      <c r="A431" t="s">
        <v>864</v>
      </c>
      <c r="B431" t="s">
        <v>633</v>
      </c>
      <c r="C431" t="s">
        <v>865</v>
      </c>
      <c r="D431" t="s">
        <v>16</v>
      </c>
    </row>
    <row r="432" spans="1:4" x14ac:dyDescent="0.25">
      <c r="A432" t="s">
        <v>866</v>
      </c>
      <c r="B432" t="s">
        <v>633</v>
      </c>
      <c r="C432" t="s">
        <v>867</v>
      </c>
      <c r="D432" t="s">
        <v>16</v>
      </c>
    </row>
    <row r="433" spans="1:4" x14ac:dyDescent="0.25">
      <c r="A433" t="s">
        <v>868</v>
      </c>
      <c r="B433" t="s">
        <v>633</v>
      </c>
      <c r="C433" t="s">
        <v>869</v>
      </c>
      <c r="D433" t="s">
        <v>16</v>
      </c>
    </row>
    <row r="434" spans="1:4" x14ac:dyDescent="0.25">
      <c r="A434" t="s">
        <v>870</v>
      </c>
      <c r="B434" t="s">
        <v>633</v>
      </c>
      <c r="C434" t="s">
        <v>871</v>
      </c>
      <c r="D434" t="s">
        <v>16</v>
      </c>
    </row>
    <row r="435" spans="1:4" x14ac:dyDescent="0.25">
      <c r="A435" t="s">
        <v>872</v>
      </c>
      <c r="B435" t="s">
        <v>633</v>
      </c>
      <c r="C435" t="s">
        <v>873</v>
      </c>
      <c r="D435" t="s">
        <v>16</v>
      </c>
    </row>
    <row r="436" spans="1:4" x14ac:dyDescent="0.25">
      <c r="A436" t="s">
        <v>874</v>
      </c>
      <c r="B436" t="s">
        <v>633</v>
      </c>
      <c r="C436" t="s">
        <v>875</v>
      </c>
      <c r="D436" t="s">
        <v>16</v>
      </c>
    </row>
    <row r="437" spans="1:4" x14ac:dyDescent="0.25">
      <c r="A437" t="s">
        <v>876</v>
      </c>
      <c r="B437" t="s">
        <v>633</v>
      </c>
      <c r="C437" t="s">
        <v>877</v>
      </c>
      <c r="D437" t="s">
        <v>16</v>
      </c>
    </row>
    <row r="438" spans="1:4" x14ac:dyDescent="0.25">
      <c r="A438" t="s">
        <v>878</v>
      </c>
      <c r="B438" t="s">
        <v>633</v>
      </c>
      <c r="C438" t="s">
        <v>879</v>
      </c>
      <c r="D438" t="s">
        <v>16</v>
      </c>
    </row>
    <row r="439" spans="1:4" x14ac:dyDescent="0.25">
      <c r="A439" t="s">
        <v>880</v>
      </c>
      <c r="B439" t="s">
        <v>633</v>
      </c>
      <c r="C439" t="s">
        <v>881</v>
      </c>
      <c r="D439" t="s">
        <v>16</v>
      </c>
    </row>
    <row r="440" spans="1:4" x14ac:dyDescent="0.25">
      <c r="A440" t="s">
        <v>882</v>
      </c>
      <c r="B440" t="s">
        <v>633</v>
      </c>
      <c r="C440" t="s">
        <v>883</v>
      </c>
      <c r="D440" t="s">
        <v>884</v>
      </c>
    </row>
    <row r="441" spans="1:4" x14ac:dyDescent="0.25">
      <c r="A441" t="s">
        <v>885</v>
      </c>
      <c r="B441" t="s">
        <v>633</v>
      </c>
      <c r="C441" t="s">
        <v>886</v>
      </c>
      <c r="D441" t="s">
        <v>16</v>
      </c>
    </row>
    <row r="442" spans="1:4" x14ac:dyDescent="0.25">
      <c r="A442" t="s">
        <v>887</v>
      </c>
      <c r="B442" t="s">
        <v>633</v>
      </c>
      <c r="C442" t="s">
        <v>888</v>
      </c>
      <c r="D442" t="s">
        <v>16</v>
      </c>
    </row>
    <row r="443" spans="1:4" x14ac:dyDescent="0.25">
      <c r="A443" t="s">
        <v>889</v>
      </c>
      <c r="B443" t="s">
        <v>633</v>
      </c>
      <c r="C443" t="s">
        <v>890</v>
      </c>
      <c r="D443" t="s">
        <v>16</v>
      </c>
    </row>
    <row r="444" spans="1:4" x14ac:dyDescent="0.25">
      <c r="A444" t="s">
        <v>891</v>
      </c>
      <c r="B444" t="s">
        <v>633</v>
      </c>
      <c r="C444" t="s">
        <v>737</v>
      </c>
      <c r="D444" t="s">
        <v>16</v>
      </c>
    </row>
    <row r="445" spans="1:4" x14ac:dyDescent="0.25">
      <c r="A445" t="s">
        <v>892</v>
      </c>
      <c r="B445" t="s">
        <v>633</v>
      </c>
      <c r="C445" t="s">
        <v>739</v>
      </c>
      <c r="D445" t="s">
        <v>16</v>
      </c>
    </row>
    <row r="446" spans="1:4" x14ac:dyDescent="0.25">
      <c r="A446" t="s">
        <v>893</v>
      </c>
      <c r="B446" t="s">
        <v>633</v>
      </c>
      <c r="C446" t="s">
        <v>894</v>
      </c>
      <c r="D446" t="s">
        <v>16</v>
      </c>
    </row>
    <row r="447" spans="1:4" x14ac:dyDescent="0.25">
      <c r="A447" t="s">
        <v>895</v>
      </c>
      <c r="B447" t="s">
        <v>633</v>
      </c>
      <c r="C447" t="s">
        <v>896</v>
      </c>
      <c r="D447" t="s">
        <v>16</v>
      </c>
    </row>
    <row r="448" spans="1:4" x14ac:dyDescent="0.25">
      <c r="A448" t="s">
        <v>897</v>
      </c>
      <c r="B448" t="s">
        <v>633</v>
      </c>
      <c r="C448" t="s">
        <v>898</v>
      </c>
      <c r="D448" t="s">
        <v>16</v>
      </c>
    </row>
    <row r="449" spans="1:4" x14ac:dyDescent="0.25">
      <c r="A449" t="s">
        <v>899</v>
      </c>
      <c r="B449" t="s">
        <v>633</v>
      </c>
      <c r="C449" t="s">
        <v>900</v>
      </c>
      <c r="D449" t="s">
        <v>16</v>
      </c>
    </row>
    <row r="450" spans="1:4" x14ac:dyDescent="0.25">
      <c r="A450" t="s">
        <v>901</v>
      </c>
      <c r="B450" t="s">
        <v>633</v>
      </c>
      <c r="C450" t="s">
        <v>902</v>
      </c>
      <c r="D450" t="s">
        <v>16</v>
      </c>
    </row>
    <row r="451" spans="1:4" x14ac:dyDescent="0.25">
      <c r="A451" t="s">
        <v>903</v>
      </c>
      <c r="B451" t="s">
        <v>633</v>
      </c>
      <c r="C451" t="s">
        <v>904</v>
      </c>
      <c r="D451" t="s">
        <v>16</v>
      </c>
    </row>
    <row r="452" spans="1:4" x14ac:dyDescent="0.25">
      <c r="A452" t="s">
        <v>905</v>
      </c>
      <c r="B452" t="s">
        <v>633</v>
      </c>
      <c r="C452" t="s">
        <v>906</v>
      </c>
      <c r="D452" t="s">
        <v>16</v>
      </c>
    </row>
    <row r="453" spans="1:4" x14ac:dyDescent="0.25">
      <c r="A453" t="s">
        <v>907</v>
      </c>
      <c r="B453" t="s">
        <v>633</v>
      </c>
      <c r="C453" t="s">
        <v>908</v>
      </c>
      <c r="D453" t="s">
        <v>16</v>
      </c>
    </row>
    <row r="454" spans="1:4" x14ac:dyDescent="0.25">
      <c r="A454" t="s">
        <v>909</v>
      </c>
      <c r="B454" t="s">
        <v>633</v>
      </c>
      <c r="C454" t="s">
        <v>910</v>
      </c>
      <c r="D454" t="s">
        <v>16</v>
      </c>
    </row>
    <row r="455" spans="1:4" x14ac:dyDescent="0.25">
      <c r="A455" t="s">
        <v>911</v>
      </c>
      <c r="B455" t="s">
        <v>633</v>
      </c>
      <c r="C455" t="s">
        <v>912</v>
      </c>
      <c r="D455" t="s">
        <v>16</v>
      </c>
    </row>
    <row r="456" spans="1:4" x14ac:dyDescent="0.25">
      <c r="A456" t="s">
        <v>913</v>
      </c>
      <c r="B456" t="s">
        <v>633</v>
      </c>
      <c r="C456" t="s">
        <v>914</v>
      </c>
      <c r="D456" t="s">
        <v>16</v>
      </c>
    </row>
    <row r="457" spans="1:4" x14ac:dyDescent="0.25">
      <c r="A457" t="s">
        <v>915</v>
      </c>
      <c r="B457" t="s">
        <v>633</v>
      </c>
      <c r="C457" t="s">
        <v>916</v>
      </c>
      <c r="D457" t="s">
        <v>16</v>
      </c>
    </row>
    <row r="458" spans="1:4" x14ac:dyDescent="0.25">
      <c r="A458" t="s">
        <v>917</v>
      </c>
      <c r="B458" t="s">
        <v>633</v>
      </c>
      <c r="C458" t="s">
        <v>918</v>
      </c>
      <c r="D458" t="s">
        <v>16</v>
      </c>
    </row>
    <row r="459" spans="1:4" x14ac:dyDescent="0.25">
      <c r="A459" t="s">
        <v>919</v>
      </c>
      <c r="B459" t="s">
        <v>633</v>
      </c>
      <c r="C459" t="s">
        <v>920</v>
      </c>
      <c r="D459" t="s">
        <v>16</v>
      </c>
    </row>
    <row r="460" spans="1:4" x14ac:dyDescent="0.25">
      <c r="A460" t="s">
        <v>921</v>
      </c>
      <c r="B460" t="s">
        <v>633</v>
      </c>
      <c r="C460" t="s">
        <v>922</v>
      </c>
      <c r="D460" t="s">
        <v>16</v>
      </c>
    </row>
    <row r="461" spans="1:4" x14ac:dyDescent="0.25">
      <c r="A461" t="s">
        <v>923</v>
      </c>
      <c r="B461" t="s">
        <v>633</v>
      </c>
      <c r="C461" t="s">
        <v>924</v>
      </c>
      <c r="D461" t="s">
        <v>16</v>
      </c>
    </row>
    <row r="462" spans="1:4" x14ac:dyDescent="0.25">
      <c r="A462" t="s">
        <v>925</v>
      </c>
      <c r="B462" t="s">
        <v>633</v>
      </c>
      <c r="C462" t="s">
        <v>926</v>
      </c>
      <c r="D462" t="s">
        <v>16</v>
      </c>
    </row>
    <row r="463" spans="1:4" x14ac:dyDescent="0.25">
      <c r="A463" t="s">
        <v>927</v>
      </c>
      <c r="B463" t="s">
        <v>633</v>
      </c>
      <c r="C463" t="s">
        <v>928</v>
      </c>
      <c r="D463" t="s">
        <v>691</v>
      </c>
    </row>
    <row r="464" spans="1:4" x14ac:dyDescent="0.25">
      <c r="A464" t="s">
        <v>929</v>
      </c>
      <c r="B464" t="s">
        <v>633</v>
      </c>
      <c r="C464" t="s">
        <v>930</v>
      </c>
      <c r="D464" t="s">
        <v>16</v>
      </c>
    </row>
    <row r="465" spans="1:4" x14ac:dyDescent="0.25">
      <c r="A465" t="s">
        <v>931</v>
      </c>
      <c r="B465" t="s">
        <v>633</v>
      </c>
      <c r="C465" t="s">
        <v>932</v>
      </c>
      <c r="D465" t="s">
        <v>16</v>
      </c>
    </row>
    <row r="466" spans="1:4" x14ac:dyDescent="0.25">
      <c r="A466" t="s">
        <v>933</v>
      </c>
      <c r="B466" t="s">
        <v>633</v>
      </c>
      <c r="C466" t="s">
        <v>934</v>
      </c>
      <c r="D466" t="s">
        <v>24</v>
      </c>
    </row>
    <row r="467" spans="1:4" x14ac:dyDescent="0.25">
      <c r="A467" t="s">
        <v>935</v>
      </c>
      <c r="B467" t="s">
        <v>633</v>
      </c>
      <c r="C467" t="s">
        <v>936</v>
      </c>
      <c r="D467" t="s">
        <v>16</v>
      </c>
    </row>
    <row r="468" spans="1:4" x14ac:dyDescent="0.25">
      <c r="A468" t="s">
        <v>937</v>
      </c>
      <c r="B468" t="s">
        <v>633</v>
      </c>
      <c r="C468" t="s">
        <v>938</v>
      </c>
      <c r="D468" t="s">
        <v>16</v>
      </c>
    </row>
    <row r="469" spans="1:4" x14ac:dyDescent="0.25">
      <c r="A469" t="s">
        <v>939</v>
      </c>
      <c r="B469" t="s">
        <v>633</v>
      </c>
      <c r="C469" t="s">
        <v>940</v>
      </c>
      <c r="D469" t="s">
        <v>16</v>
      </c>
    </row>
    <row r="470" spans="1:4" x14ac:dyDescent="0.25">
      <c r="A470" t="s">
        <v>941</v>
      </c>
      <c r="B470" t="s">
        <v>633</v>
      </c>
      <c r="C470" t="s">
        <v>942</v>
      </c>
      <c r="D470" t="s">
        <v>16</v>
      </c>
    </row>
    <row r="471" spans="1:4" x14ac:dyDescent="0.25">
      <c r="A471" t="s">
        <v>943</v>
      </c>
      <c r="B471" t="s">
        <v>633</v>
      </c>
      <c r="C471" t="s">
        <v>944</v>
      </c>
      <c r="D471" t="s">
        <v>16</v>
      </c>
    </row>
    <row r="472" spans="1:4" x14ac:dyDescent="0.25">
      <c r="A472" t="s">
        <v>945</v>
      </c>
      <c r="B472" t="s">
        <v>633</v>
      </c>
      <c r="C472" t="s">
        <v>946</v>
      </c>
      <c r="D472" t="s">
        <v>16</v>
      </c>
    </row>
    <row r="473" spans="1:4" x14ac:dyDescent="0.25">
      <c r="A473" t="s">
        <v>947</v>
      </c>
      <c r="B473" t="s">
        <v>633</v>
      </c>
      <c r="C473" t="s">
        <v>948</v>
      </c>
      <c r="D473" t="s">
        <v>16</v>
      </c>
    </row>
    <row r="474" spans="1:4" x14ac:dyDescent="0.25">
      <c r="A474" t="s">
        <v>949</v>
      </c>
      <c r="B474" t="s">
        <v>633</v>
      </c>
      <c r="C474" t="s">
        <v>950</v>
      </c>
      <c r="D474" t="s">
        <v>16</v>
      </c>
    </row>
    <row r="475" spans="1:4" x14ac:dyDescent="0.25">
      <c r="A475" t="s">
        <v>951</v>
      </c>
      <c r="B475" t="s">
        <v>633</v>
      </c>
      <c r="C475" t="s">
        <v>952</v>
      </c>
      <c r="D475" t="s">
        <v>16</v>
      </c>
    </row>
    <row r="476" spans="1:4" x14ac:dyDescent="0.25">
      <c r="A476" t="s">
        <v>953</v>
      </c>
      <c r="B476" t="s">
        <v>633</v>
      </c>
      <c r="C476" t="s">
        <v>954</v>
      </c>
      <c r="D476" t="s">
        <v>16</v>
      </c>
    </row>
    <row r="477" spans="1:4" x14ac:dyDescent="0.25">
      <c r="A477" t="s">
        <v>955</v>
      </c>
      <c r="B477" t="s">
        <v>633</v>
      </c>
      <c r="C477" t="s">
        <v>956</v>
      </c>
      <c r="D477" t="s">
        <v>16</v>
      </c>
    </row>
    <row r="478" spans="1:4" x14ac:dyDescent="0.25">
      <c r="A478" t="s">
        <v>957</v>
      </c>
      <c r="B478" t="s">
        <v>633</v>
      </c>
      <c r="C478" t="s">
        <v>958</v>
      </c>
      <c r="D478" t="s">
        <v>16</v>
      </c>
    </row>
    <row r="479" spans="1:4" x14ac:dyDescent="0.25">
      <c r="A479" t="s">
        <v>959</v>
      </c>
      <c r="B479" t="s">
        <v>633</v>
      </c>
      <c r="C479" t="s">
        <v>960</v>
      </c>
      <c r="D479" t="s">
        <v>16</v>
      </c>
    </row>
    <row r="480" spans="1:4" x14ac:dyDescent="0.25">
      <c r="A480" t="s">
        <v>961</v>
      </c>
      <c r="B480" t="s">
        <v>633</v>
      </c>
      <c r="C480" t="s">
        <v>962</v>
      </c>
      <c r="D480" t="s">
        <v>16</v>
      </c>
    </row>
    <row r="481" spans="1:4" x14ac:dyDescent="0.25">
      <c r="A481" t="s">
        <v>963</v>
      </c>
      <c r="B481" t="s">
        <v>633</v>
      </c>
      <c r="C481" t="s">
        <v>964</v>
      </c>
      <c r="D481" t="s">
        <v>16</v>
      </c>
    </row>
    <row r="482" spans="1:4" x14ac:dyDescent="0.25">
      <c r="A482" t="s">
        <v>965</v>
      </c>
      <c r="B482" t="s">
        <v>633</v>
      </c>
      <c r="C482" t="s">
        <v>966</v>
      </c>
      <c r="D482" t="s">
        <v>16</v>
      </c>
    </row>
    <row r="483" spans="1:4" x14ac:dyDescent="0.25">
      <c r="A483" t="s">
        <v>967</v>
      </c>
      <c r="B483" t="s">
        <v>633</v>
      </c>
      <c r="C483" t="s">
        <v>968</v>
      </c>
      <c r="D483" t="s">
        <v>16</v>
      </c>
    </row>
    <row r="484" spans="1:4" x14ac:dyDescent="0.25">
      <c r="A484" t="s">
        <v>969</v>
      </c>
      <c r="B484" t="s">
        <v>633</v>
      </c>
      <c r="C484" t="s">
        <v>970</v>
      </c>
      <c r="D484" t="s">
        <v>16</v>
      </c>
    </row>
    <row r="485" spans="1:4" x14ac:dyDescent="0.25">
      <c r="A485" t="s">
        <v>971</v>
      </c>
      <c r="B485" t="s">
        <v>633</v>
      </c>
      <c r="C485" t="s">
        <v>972</v>
      </c>
      <c r="D485" t="s">
        <v>16</v>
      </c>
    </row>
    <row r="486" spans="1:4" x14ac:dyDescent="0.25">
      <c r="A486" t="s">
        <v>973</v>
      </c>
      <c r="B486" t="s">
        <v>633</v>
      </c>
      <c r="C486" t="s">
        <v>974</v>
      </c>
      <c r="D486" t="s">
        <v>16</v>
      </c>
    </row>
    <row r="493" spans="1:4" x14ac:dyDescent="0.25">
      <c r="A493" t="s">
        <v>975</v>
      </c>
      <c r="B493" t="s">
        <v>33</v>
      </c>
      <c r="C493" t="s">
        <v>976</v>
      </c>
      <c r="D493" t="s">
        <v>106</v>
      </c>
    </row>
    <row r="494" spans="1:4" x14ac:dyDescent="0.25">
      <c r="A494" t="s">
        <v>977</v>
      </c>
      <c r="B494" t="s">
        <v>33</v>
      </c>
      <c r="C494" t="s">
        <v>978</v>
      </c>
      <c r="D494" t="s">
        <v>106</v>
      </c>
    </row>
    <row r="495" spans="1:4" x14ac:dyDescent="0.25">
      <c r="A495" t="s">
        <v>979</v>
      </c>
      <c r="B495" t="s">
        <v>33</v>
      </c>
      <c r="C495" t="s">
        <v>980</v>
      </c>
      <c r="D495" t="s">
        <v>106</v>
      </c>
    </row>
    <row r="496" spans="1:4" x14ac:dyDescent="0.25">
      <c r="A496" t="s">
        <v>981</v>
      </c>
      <c r="B496" t="s">
        <v>33</v>
      </c>
      <c r="C496" t="s">
        <v>982</v>
      </c>
      <c r="D496" t="s">
        <v>106</v>
      </c>
    </row>
    <row r="497" spans="1:4" x14ac:dyDescent="0.25">
      <c r="A497" t="s">
        <v>983</v>
      </c>
      <c r="B497" t="s">
        <v>33</v>
      </c>
      <c r="C497" t="s">
        <v>984</v>
      </c>
      <c r="D497" t="s">
        <v>106</v>
      </c>
    </row>
    <row r="498" spans="1:4" x14ac:dyDescent="0.25">
      <c r="A498" t="s">
        <v>985</v>
      </c>
      <c r="B498" t="s">
        <v>33</v>
      </c>
      <c r="C498" t="s">
        <v>986</v>
      </c>
      <c r="D498" t="s">
        <v>106</v>
      </c>
    </row>
    <row r="499" spans="1:4" x14ac:dyDescent="0.25">
      <c r="A499" t="s">
        <v>987</v>
      </c>
      <c r="B499" t="s">
        <v>33</v>
      </c>
      <c r="C499" t="s">
        <v>988</v>
      </c>
      <c r="D499" t="s">
        <v>131</v>
      </c>
    </row>
    <row r="500" spans="1:4" x14ac:dyDescent="0.25">
      <c r="A500" t="s">
        <v>989</v>
      </c>
      <c r="B500" t="s">
        <v>33</v>
      </c>
      <c r="C500" t="s">
        <v>990</v>
      </c>
      <c r="D500" t="s">
        <v>106</v>
      </c>
    </row>
    <row r="501" spans="1:4" x14ac:dyDescent="0.25">
      <c r="A501" t="s">
        <v>991</v>
      </c>
      <c r="B501" t="s">
        <v>33</v>
      </c>
      <c r="C501" t="s">
        <v>992</v>
      </c>
      <c r="D501" t="s">
        <v>106</v>
      </c>
    </row>
    <row r="502" spans="1:4" x14ac:dyDescent="0.25">
      <c r="A502" t="s">
        <v>993</v>
      </c>
      <c r="B502" t="s">
        <v>33</v>
      </c>
      <c r="C502" t="s">
        <v>994</v>
      </c>
      <c r="D502" t="s">
        <v>106</v>
      </c>
    </row>
    <row r="503" spans="1:4" x14ac:dyDescent="0.25">
      <c r="A503" t="s">
        <v>995</v>
      </c>
      <c r="B503" t="s">
        <v>33</v>
      </c>
      <c r="C503" t="s">
        <v>996</v>
      </c>
      <c r="D503" t="s">
        <v>106</v>
      </c>
    </row>
    <row r="504" spans="1:4" x14ac:dyDescent="0.25">
      <c r="A504" t="s">
        <v>997</v>
      </c>
      <c r="B504" t="s">
        <v>33</v>
      </c>
      <c r="C504" t="s">
        <v>998</v>
      </c>
      <c r="D504" t="s">
        <v>106</v>
      </c>
    </row>
    <row r="505" spans="1:4" x14ac:dyDescent="0.25">
      <c r="A505" t="s">
        <v>999</v>
      </c>
      <c r="B505" t="s">
        <v>33</v>
      </c>
      <c r="C505" t="s">
        <v>1000</v>
      </c>
      <c r="D505" t="s">
        <v>106</v>
      </c>
    </row>
    <row r="506" spans="1:4" x14ac:dyDescent="0.25">
      <c r="A506" t="s">
        <v>1001</v>
      </c>
      <c r="B506" t="s">
        <v>33</v>
      </c>
      <c r="C506" t="s">
        <v>1002</v>
      </c>
      <c r="D506" t="s">
        <v>106</v>
      </c>
    </row>
    <row r="507" spans="1:4" x14ac:dyDescent="0.25">
      <c r="A507" t="s">
        <v>1003</v>
      </c>
      <c r="B507" t="s">
        <v>33</v>
      </c>
      <c r="C507" t="s">
        <v>1004</v>
      </c>
      <c r="D507" t="s">
        <v>106</v>
      </c>
    </row>
    <row r="508" spans="1:4" x14ac:dyDescent="0.25">
      <c r="A508" t="s">
        <v>1005</v>
      </c>
      <c r="B508" t="s">
        <v>33</v>
      </c>
      <c r="C508" t="s">
        <v>1006</v>
      </c>
      <c r="D508" t="s">
        <v>106</v>
      </c>
    </row>
    <row r="509" spans="1:4" x14ac:dyDescent="0.25">
      <c r="A509" t="s">
        <v>1007</v>
      </c>
      <c r="B509" t="s">
        <v>33</v>
      </c>
      <c r="C509" t="s">
        <v>1008</v>
      </c>
      <c r="D509" t="s">
        <v>106</v>
      </c>
    </row>
    <row r="510" spans="1:4" x14ac:dyDescent="0.25">
      <c r="A510" t="s">
        <v>1009</v>
      </c>
      <c r="B510" t="s">
        <v>33</v>
      </c>
      <c r="C510" t="s">
        <v>1010</v>
      </c>
      <c r="D510" t="s">
        <v>106</v>
      </c>
    </row>
    <row r="511" spans="1:4" x14ac:dyDescent="0.25">
      <c r="A511" t="s">
        <v>1011</v>
      </c>
      <c r="B511" t="s">
        <v>33</v>
      </c>
      <c r="C511" t="s">
        <v>1012</v>
      </c>
      <c r="D511" t="s">
        <v>106</v>
      </c>
    </row>
    <row r="512" spans="1:4" x14ac:dyDescent="0.25">
      <c r="A512" t="s">
        <v>1013</v>
      </c>
      <c r="B512" t="s">
        <v>33</v>
      </c>
      <c r="C512" t="s">
        <v>1014</v>
      </c>
      <c r="D512" t="s">
        <v>106</v>
      </c>
    </row>
    <row r="513" spans="1:4" x14ac:dyDescent="0.25">
      <c r="A513" t="s">
        <v>1015</v>
      </c>
      <c r="B513" t="s">
        <v>33</v>
      </c>
      <c r="C513" t="s">
        <v>1016</v>
      </c>
      <c r="D513" t="s">
        <v>106</v>
      </c>
    </row>
    <row r="514" spans="1:4" x14ac:dyDescent="0.25">
      <c r="A514" t="s">
        <v>1017</v>
      </c>
      <c r="B514" t="s">
        <v>33</v>
      </c>
      <c r="C514" t="s">
        <v>1018</v>
      </c>
      <c r="D514" t="s">
        <v>106</v>
      </c>
    </row>
    <row r="515" spans="1:4" x14ac:dyDescent="0.25">
      <c r="A515" t="s">
        <v>1019</v>
      </c>
      <c r="B515" t="s">
        <v>33</v>
      </c>
      <c r="C515" t="s">
        <v>1020</v>
      </c>
      <c r="D515" t="s">
        <v>106</v>
      </c>
    </row>
    <row r="516" spans="1:4" x14ac:dyDescent="0.25">
      <c r="A516" t="s">
        <v>1021</v>
      </c>
      <c r="B516" t="s">
        <v>33</v>
      </c>
      <c r="C516" t="s">
        <v>1022</v>
      </c>
      <c r="D516" t="s">
        <v>106</v>
      </c>
    </row>
    <row r="517" spans="1:4" x14ac:dyDescent="0.25">
      <c r="A517" t="s">
        <v>1023</v>
      </c>
      <c r="B517" t="s">
        <v>33</v>
      </c>
      <c r="C517" t="s">
        <v>1024</v>
      </c>
      <c r="D517" t="s">
        <v>106</v>
      </c>
    </row>
    <row r="518" spans="1:4" x14ac:dyDescent="0.25">
      <c r="A518" t="s">
        <v>1025</v>
      </c>
      <c r="B518" t="s">
        <v>33</v>
      </c>
      <c r="C518" t="s">
        <v>1026</v>
      </c>
      <c r="D518" t="s">
        <v>106</v>
      </c>
    </row>
    <row r="519" spans="1:4" x14ac:dyDescent="0.25">
      <c r="A519" t="s">
        <v>1027</v>
      </c>
      <c r="B519" t="s">
        <v>33</v>
      </c>
      <c r="C519" t="s">
        <v>1028</v>
      </c>
      <c r="D519" t="s">
        <v>106</v>
      </c>
    </row>
    <row r="520" spans="1:4" x14ac:dyDescent="0.25">
      <c r="A520" t="s">
        <v>1029</v>
      </c>
      <c r="B520" t="s">
        <v>33</v>
      </c>
      <c r="C520" t="s">
        <v>570</v>
      </c>
      <c r="D520" t="s">
        <v>106</v>
      </c>
    </row>
    <row r="521" spans="1:4" x14ac:dyDescent="0.25">
      <c r="A521" t="s">
        <v>1030</v>
      </c>
      <c r="B521" t="s">
        <v>33</v>
      </c>
      <c r="C521" t="s">
        <v>1031</v>
      </c>
      <c r="D521" t="s">
        <v>106</v>
      </c>
    </row>
    <row r="522" spans="1:4" x14ac:dyDescent="0.25">
      <c r="A522" t="s">
        <v>1032</v>
      </c>
      <c r="B522" t="s">
        <v>33</v>
      </c>
      <c r="C522" t="s">
        <v>1033</v>
      </c>
      <c r="D522" t="s">
        <v>16</v>
      </c>
    </row>
    <row r="523" spans="1:4" x14ac:dyDescent="0.25">
      <c r="A523" t="s">
        <v>1034</v>
      </c>
      <c r="B523" t="s">
        <v>33</v>
      </c>
      <c r="C523" t="s">
        <v>1035</v>
      </c>
      <c r="D523" t="s">
        <v>106</v>
      </c>
    </row>
    <row r="524" spans="1:4" x14ac:dyDescent="0.25">
      <c r="A524" t="s">
        <v>1036</v>
      </c>
      <c r="B524" t="s">
        <v>33</v>
      </c>
      <c r="C524" t="s">
        <v>1037</v>
      </c>
      <c r="D524" t="s">
        <v>329</v>
      </c>
    </row>
    <row r="525" spans="1:4" x14ac:dyDescent="0.25">
      <c r="A525" t="s">
        <v>1038</v>
      </c>
      <c r="B525" t="s">
        <v>33</v>
      </c>
      <c r="C525" t="s">
        <v>1039</v>
      </c>
      <c r="D525" t="s">
        <v>106</v>
      </c>
    </row>
    <row r="526" spans="1:4" x14ac:dyDescent="0.25">
      <c r="A526" t="s">
        <v>1040</v>
      </c>
      <c r="B526" t="s">
        <v>33</v>
      </c>
      <c r="C526" t="s">
        <v>1041</v>
      </c>
      <c r="D526" t="s">
        <v>106</v>
      </c>
    </row>
    <row r="527" spans="1:4" x14ac:dyDescent="0.25">
      <c r="A527" t="s">
        <v>1042</v>
      </c>
      <c r="B527" t="s">
        <v>33</v>
      </c>
      <c r="C527" t="s">
        <v>1043</v>
      </c>
      <c r="D527" t="s">
        <v>106</v>
      </c>
    </row>
    <row r="528" spans="1:4" x14ac:dyDescent="0.25">
      <c r="A528" t="s">
        <v>1044</v>
      </c>
      <c r="B528" t="s">
        <v>33</v>
      </c>
      <c r="C528" t="s">
        <v>1045</v>
      </c>
      <c r="D528" t="s">
        <v>106</v>
      </c>
    </row>
    <row r="529" spans="1:4" x14ac:dyDescent="0.25">
      <c r="A529" t="s">
        <v>1046</v>
      </c>
      <c r="B529" t="s">
        <v>33</v>
      </c>
      <c r="C529" t="s">
        <v>1047</v>
      </c>
      <c r="D529" t="s">
        <v>106</v>
      </c>
    </row>
    <row r="530" spans="1:4" x14ac:dyDescent="0.25">
      <c r="A530" t="s">
        <v>1048</v>
      </c>
      <c r="B530" t="s">
        <v>33</v>
      </c>
      <c r="C530" t="s">
        <v>1049</v>
      </c>
      <c r="D530" t="s">
        <v>106</v>
      </c>
    </row>
    <row r="531" spans="1:4" x14ac:dyDescent="0.25">
      <c r="A531" t="s">
        <v>1050</v>
      </c>
      <c r="B531" t="s">
        <v>33</v>
      </c>
      <c r="C531" t="s">
        <v>1051</v>
      </c>
      <c r="D531" t="s">
        <v>106</v>
      </c>
    </row>
    <row r="532" spans="1:4" x14ac:dyDescent="0.25">
      <c r="A532" t="s">
        <v>1052</v>
      </c>
      <c r="B532" t="s">
        <v>33</v>
      </c>
      <c r="C532" t="s">
        <v>1053</v>
      </c>
      <c r="D532" t="s">
        <v>106</v>
      </c>
    </row>
    <row r="533" spans="1:4" x14ac:dyDescent="0.25">
      <c r="A533" t="s">
        <v>1054</v>
      </c>
      <c r="B533" t="s">
        <v>33</v>
      </c>
      <c r="C533" t="s">
        <v>1055</v>
      </c>
      <c r="D533" t="s">
        <v>106</v>
      </c>
    </row>
    <row r="534" spans="1:4" x14ac:dyDescent="0.25">
      <c r="A534" t="s">
        <v>1056</v>
      </c>
      <c r="B534" t="s">
        <v>33</v>
      </c>
      <c r="C534" t="s">
        <v>1057</v>
      </c>
      <c r="D534" t="s">
        <v>106</v>
      </c>
    </row>
    <row r="535" spans="1:4" x14ac:dyDescent="0.25">
      <c r="A535" t="s">
        <v>1058</v>
      </c>
      <c r="B535" t="s">
        <v>33</v>
      </c>
      <c r="C535" t="s">
        <v>1059</v>
      </c>
      <c r="D535" t="s">
        <v>106</v>
      </c>
    </row>
    <row r="536" spans="1:4" x14ac:dyDescent="0.25">
      <c r="A536" t="s">
        <v>1060</v>
      </c>
      <c r="B536" t="s">
        <v>33</v>
      </c>
      <c r="C536" t="s">
        <v>1061</v>
      </c>
      <c r="D536" t="s">
        <v>106</v>
      </c>
    </row>
    <row r="537" spans="1:4" x14ac:dyDescent="0.25">
      <c r="A537" t="s">
        <v>1062</v>
      </c>
      <c r="B537" t="s">
        <v>33</v>
      </c>
      <c r="C537" t="s">
        <v>1063</v>
      </c>
      <c r="D537" t="s">
        <v>106</v>
      </c>
    </row>
    <row r="538" spans="1:4" x14ac:dyDescent="0.25">
      <c r="A538" t="s">
        <v>1064</v>
      </c>
      <c r="B538" t="s">
        <v>33</v>
      </c>
      <c r="C538" t="s">
        <v>1065</v>
      </c>
      <c r="D538" t="s">
        <v>106</v>
      </c>
    </row>
    <row r="539" spans="1:4" x14ac:dyDescent="0.25">
      <c r="A539" t="s">
        <v>1066</v>
      </c>
      <c r="B539" t="s">
        <v>33</v>
      </c>
      <c r="C539" t="s">
        <v>1067</v>
      </c>
      <c r="D539" t="s">
        <v>16</v>
      </c>
    </row>
    <row r="540" spans="1:4" x14ac:dyDescent="0.25">
      <c r="A540" t="s">
        <v>1068</v>
      </c>
      <c r="B540" t="s">
        <v>33</v>
      </c>
      <c r="C540" t="s">
        <v>1069</v>
      </c>
      <c r="D540" t="s">
        <v>106</v>
      </c>
    </row>
    <row r="541" spans="1:4" x14ac:dyDescent="0.25">
      <c r="A541" t="s">
        <v>1070</v>
      </c>
      <c r="B541" t="s">
        <v>33</v>
      </c>
      <c r="C541" t="s">
        <v>1071</v>
      </c>
      <c r="D541" t="s">
        <v>106</v>
      </c>
    </row>
    <row r="542" spans="1:4" x14ac:dyDescent="0.25">
      <c r="A542" t="s">
        <v>1072</v>
      </c>
      <c r="B542" t="s">
        <v>33</v>
      </c>
      <c r="C542" t="s">
        <v>1073</v>
      </c>
      <c r="D542" t="s">
        <v>106</v>
      </c>
    </row>
    <row r="543" spans="1:4" x14ac:dyDescent="0.25">
      <c r="A543" t="s">
        <v>1074</v>
      </c>
      <c r="B543" t="s">
        <v>33</v>
      </c>
      <c r="C543" t="s">
        <v>1075</v>
      </c>
      <c r="D543" t="s">
        <v>106</v>
      </c>
    </row>
    <row r="544" spans="1:4" x14ac:dyDescent="0.25">
      <c r="A544" t="s">
        <v>1076</v>
      </c>
      <c r="B544" t="s">
        <v>33</v>
      </c>
      <c r="C544" t="s">
        <v>1077</v>
      </c>
      <c r="D544" t="s">
        <v>106</v>
      </c>
    </row>
    <row r="545" spans="1:4" x14ac:dyDescent="0.25">
      <c r="A545" t="s">
        <v>1078</v>
      </c>
      <c r="B545" t="s">
        <v>33</v>
      </c>
      <c r="C545" t="s">
        <v>1079</v>
      </c>
      <c r="D545" t="s">
        <v>106</v>
      </c>
    </row>
    <row r="546" spans="1:4" x14ac:dyDescent="0.25">
      <c r="A546" t="s">
        <v>1080</v>
      </c>
      <c r="B546" t="s">
        <v>33</v>
      </c>
      <c r="C546" t="s">
        <v>1081</v>
      </c>
      <c r="D546" t="s">
        <v>106</v>
      </c>
    </row>
    <row r="547" spans="1:4" x14ac:dyDescent="0.25">
      <c r="A547" t="s">
        <v>1082</v>
      </c>
      <c r="B547" t="s">
        <v>33</v>
      </c>
      <c r="C547" t="s">
        <v>1083</v>
      </c>
      <c r="D547" t="s">
        <v>106</v>
      </c>
    </row>
    <row r="548" spans="1:4" x14ac:dyDescent="0.25">
      <c r="A548" t="s">
        <v>1084</v>
      </c>
      <c r="B548" t="s">
        <v>33</v>
      </c>
      <c r="C548" t="s">
        <v>1085</v>
      </c>
      <c r="D548" t="s">
        <v>106</v>
      </c>
    </row>
    <row r="549" spans="1:4" x14ac:dyDescent="0.25">
      <c r="A549" t="s">
        <v>1086</v>
      </c>
      <c r="B549" t="s">
        <v>33</v>
      </c>
      <c r="C549" t="s">
        <v>1087</v>
      </c>
      <c r="D549" t="s">
        <v>106</v>
      </c>
    </row>
    <row r="550" spans="1:4" x14ac:dyDescent="0.25">
      <c r="A550" t="s">
        <v>1088</v>
      </c>
      <c r="B550" t="s">
        <v>33</v>
      </c>
      <c r="C550" t="s">
        <v>1089</v>
      </c>
      <c r="D550" t="s">
        <v>106</v>
      </c>
    </row>
    <row r="551" spans="1:4" x14ac:dyDescent="0.25">
      <c r="A551" t="s">
        <v>1090</v>
      </c>
      <c r="B551" t="s">
        <v>33</v>
      </c>
      <c r="C551" t="s">
        <v>1091</v>
      </c>
      <c r="D551" t="s">
        <v>106</v>
      </c>
    </row>
    <row r="552" spans="1:4" x14ac:dyDescent="0.25">
      <c r="A552" t="s">
        <v>1092</v>
      </c>
      <c r="B552" t="s">
        <v>33</v>
      </c>
      <c r="C552" t="s">
        <v>1093</v>
      </c>
      <c r="D552" t="s">
        <v>50</v>
      </c>
    </row>
    <row r="553" spans="1:4" x14ac:dyDescent="0.25">
      <c r="A553" t="s">
        <v>1094</v>
      </c>
      <c r="B553" t="s">
        <v>33</v>
      </c>
      <c r="C553" t="s">
        <v>1095</v>
      </c>
      <c r="D553" t="s">
        <v>106</v>
      </c>
    </row>
    <row r="554" spans="1:4" x14ac:dyDescent="0.25">
      <c r="A554" t="s">
        <v>1096</v>
      </c>
      <c r="B554" t="s">
        <v>33</v>
      </c>
      <c r="C554" t="s">
        <v>1097</v>
      </c>
      <c r="D554" t="s">
        <v>106</v>
      </c>
    </row>
    <row r="555" spans="1:4" x14ac:dyDescent="0.25">
      <c r="A555" t="s">
        <v>1098</v>
      </c>
      <c r="B555" t="s">
        <v>33</v>
      </c>
      <c r="C555" t="s">
        <v>1099</v>
      </c>
      <c r="D555" t="s">
        <v>106</v>
      </c>
    </row>
    <row r="556" spans="1:4" x14ac:dyDescent="0.25">
      <c r="A556" t="s">
        <v>1100</v>
      </c>
      <c r="B556" t="s">
        <v>33</v>
      </c>
      <c r="C556" t="s">
        <v>1101</v>
      </c>
      <c r="D556" t="s">
        <v>106</v>
      </c>
    </row>
    <row r="557" spans="1:4" x14ac:dyDescent="0.25">
      <c r="A557" t="s">
        <v>1102</v>
      </c>
      <c r="B557" t="s">
        <v>33</v>
      </c>
      <c r="C557" t="s">
        <v>1103</v>
      </c>
      <c r="D557" t="s">
        <v>106</v>
      </c>
    </row>
    <row r="558" spans="1:4" x14ac:dyDescent="0.25">
      <c r="A558" t="s">
        <v>1104</v>
      </c>
      <c r="B558" t="s">
        <v>33</v>
      </c>
      <c r="C558" t="s">
        <v>1105</v>
      </c>
      <c r="D558" t="s">
        <v>106</v>
      </c>
    </row>
    <row r="559" spans="1:4" x14ac:dyDescent="0.25">
      <c r="A559" t="s">
        <v>1106</v>
      </c>
      <c r="B559" t="s">
        <v>33</v>
      </c>
      <c r="C559" t="s">
        <v>1107</v>
      </c>
      <c r="D559" t="s">
        <v>106</v>
      </c>
    </row>
    <row r="560" spans="1:4" x14ac:dyDescent="0.25">
      <c r="A560" t="s">
        <v>1108</v>
      </c>
      <c r="B560" t="s">
        <v>33</v>
      </c>
      <c r="C560" t="s">
        <v>1109</v>
      </c>
      <c r="D560" t="s">
        <v>106</v>
      </c>
    </row>
    <row r="561" spans="1:4" x14ac:dyDescent="0.25">
      <c r="A561" t="s">
        <v>1110</v>
      </c>
      <c r="B561" t="s">
        <v>33</v>
      </c>
      <c r="C561" t="s">
        <v>1111</v>
      </c>
      <c r="D561" t="s">
        <v>106</v>
      </c>
    </row>
    <row r="562" spans="1:4" x14ac:dyDescent="0.25">
      <c r="A562" t="s">
        <v>1112</v>
      </c>
      <c r="B562" t="s">
        <v>33</v>
      </c>
      <c r="C562" t="s">
        <v>1113</v>
      </c>
      <c r="D562" t="s">
        <v>106</v>
      </c>
    </row>
    <row r="563" spans="1:4" x14ac:dyDescent="0.25">
      <c r="A563" t="s">
        <v>1114</v>
      </c>
      <c r="B563" t="s">
        <v>33</v>
      </c>
      <c r="C563" t="s">
        <v>1115</v>
      </c>
      <c r="D563" t="s">
        <v>106</v>
      </c>
    </row>
    <row r="564" spans="1:4" x14ac:dyDescent="0.25">
      <c r="A564" t="s">
        <v>1116</v>
      </c>
      <c r="B564" t="s">
        <v>33</v>
      </c>
      <c r="C564" t="s">
        <v>1117</v>
      </c>
      <c r="D564" t="s">
        <v>106</v>
      </c>
    </row>
    <row r="565" spans="1:4" x14ac:dyDescent="0.25">
      <c r="A565" t="s">
        <v>1118</v>
      </c>
      <c r="B565" t="s">
        <v>33</v>
      </c>
      <c r="C565" t="s">
        <v>1119</v>
      </c>
      <c r="D565" t="s">
        <v>106</v>
      </c>
    </row>
    <row r="566" spans="1:4" x14ac:dyDescent="0.25">
      <c r="A566" t="s">
        <v>1120</v>
      </c>
      <c r="B566" t="s">
        <v>33</v>
      </c>
      <c r="C566" t="s">
        <v>1121</v>
      </c>
      <c r="D566" t="s">
        <v>106</v>
      </c>
    </row>
    <row r="567" spans="1:4" x14ac:dyDescent="0.25">
      <c r="A567" t="s">
        <v>1122</v>
      </c>
      <c r="B567" t="s">
        <v>33</v>
      </c>
      <c r="C567" t="s">
        <v>1123</v>
      </c>
      <c r="D567" t="s">
        <v>106</v>
      </c>
    </row>
    <row r="568" spans="1:4" x14ac:dyDescent="0.25">
      <c r="A568" t="s">
        <v>1124</v>
      </c>
      <c r="B568" t="s">
        <v>33</v>
      </c>
      <c r="C568" t="s">
        <v>1125</v>
      </c>
      <c r="D568" t="s">
        <v>106</v>
      </c>
    </row>
    <row r="569" spans="1:4" x14ac:dyDescent="0.25">
      <c r="A569" t="s">
        <v>1126</v>
      </c>
      <c r="B569" t="s">
        <v>33</v>
      </c>
      <c r="C569" t="s">
        <v>1127</v>
      </c>
      <c r="D569" t="s">
        <v>106</v>
      </c>
    </row>
    <row r="570" spans="1:4" x14ac:dyDescent="0.25">
      <c r="A570" t="s">
        <v>1128</v>
      </c>
      <c r="B570" t="s">
        <v>33</v>
      </c>
      <c r="C570" t="s">
        <v>1129</v>
      </c>
      <c r="D570" t="s">
        <v>106</v>
      </c>
    </row>
    <row r="571" spans="1:4" x14ac:dyDescent="0.25">
      <c r="A571" t="s">
        <v>1130</v>
      </c>
      <c r="B571" t="s">
        <v>33</v>
      </c>
      <c r="C571" t="s">
        <v>1131</v>
      </c>
      <c r="D571" t="s">
        <v>106</v>
      </c>
    </row>
    <row r="572" spans="1:4" x14ac:dyDescent="0.25">
      <c r="A572" t="s">
        <v>1132</v>
      </c>
      <c r="B572" t="s">
        <v>33</v>
      </c>
      <c r="C572" t="s">
        <v>1133</v>
      </c>
      <c r="D572" t="s">
        <v>106</v>
      </c>
    </row>
    <row r="573" spans="1:4" x14ac:dyDescent="0.25">
      <c r="A573" t="s">
        <v>1134</v>
      </c>
      <c r="B573" t="s">
        <v>33</v>
      </c>
      <c r="C573" t="s">
        <v>1135</v>
      </c>
      <c r="D573" t="s">
        <v>106</v>
      </c>
    </row>
    <row r="574" spans="1:4" x14ac:dyDescent="0.25">
      <c r="A574" t="s">
        <v>1136</v>
      </c>
      <c r="B574" t="s">
        <v>33</v>
      </c>
      <c r="C574" t="s">
        <v>1137</v>
      </c>
      <c r="D574" t="s">
        <v>106</v>
      </c>
    </row>
    <row r="575" spans="1:4" x14ac:dyDescent="0.25">
      <c r="A575" t="s">
        <v>1138</v>
      </c>
      <c r="B575" t="s">
        <v>33</v>
      </c>
      <c r="C575" t="s">
        <v>1139</v>
      </c>
      <c r="D575" t="s">
        <v>106</v>
      </c>
    </row>
    <row r="576" spans="1:4" x14ac:dyDescent="0.25">
      <c r="A576" t="s">
        <v>1140</v>
      </c>
      <c r="B576" t="s">
        <v>33</v>
      </c>
      <c r="C576" t="s">
        <v>1141</v>
      </c>
      <c r="D576" t="s">
        <v>106</v>
      </c>
    </row>
    <row r="577" spans="1:4" x14ac:dyDescent="0.25">
      <c r="A577" t="s">
        <v>1142</v>
      </c>
      <c r="B577" t="s">
        <v>33</v>
      </c>
      <c r="C577" t="s">
        <v>1143</v>
      </c>
      <c r="D577" t="s">
        <v>106</v>
      </c>
    </row>
    <row r="578" spans="1:4" x14ac:dyDescent="0.25">
      <c r="A578" t="s">
        <v>1144</v>
      </c>
      <c r="B578" t="s">
        <v>33</v>
      </c>
      <c r="C578" t="s">
        <v>1145</v>
      </c>
      <c r="D578" t="s">
        <v>106</v>
      </c>
    </row>
    <row r="579" spans="1:4" x14ac:dyDescent="0.25">
      <c r="A579" t="s">
        <v>1146</v>
      </c>
      <c r="B579" t="s">
        <v>33</v>
      </c>
      <c r="C579" t="s">
        <v>1147</v>
      </c>
      <c r="D579" t="s">
        <v>106</v>
      </c>
    </row>
    <row r="580" spans="1:4" x14ac:dyDescent="0.25">
      <c r="A580" t="s">
        <v>1148</v>
      </c>
      <c r="B580" t="s">
        <v>33</v>
      </c>
      <c r="C580" t="s">
        <v>1149</v>
      </c>
      <c r="D580" t="s">
        <v>106</v>
      </c>
    </row>
    <row r="581" spans="1:4" x14ac:dyDescent="0.25">
      <c r="A581" t="s">
        <v>1150</v>
      </c>
      <c r="B581" t="s">
        <v>33</v>
      </c>
      <c r="C581" t="s">
        <v>1151</v>
      </c>
      <c r="D581" t="s">
        <v>106</v>
      </c>
    </row>
    <row r="582" spans="1:4" x14ac:dyDescent="0.25">
      <c r="A582" t="s">
        <v>1152</v>
      </c>
      <c r="B582" t="s">
        <v>33</v>
      </c>
      <c r="C582" t="s">
        <v>1153</v>
      </c>
      <c r="D582" t="s">
        <v>106</v>
      </c>
    </row>
    <row r="583" spans="1:4" x14ac:dyDescent="0.25">
      <c r="A583" t="s">
        <v>1154</v>
      </c>
      <c r="B583" t="s">
        <v>33</v>
      </c>
      <c r="C583" t="s">
        <v>1155</v>
      </c>
      <c r="D583" t="s">
        <v>106</v>
      </c>
    </row>
    <row r="584" spans="1:4" x14ac:dyDescent="0.25">
      <c r="A584" t="s">
        <v>1156</v>
      </c>
      <c r="B584" t="s">
        <v>33</v>
      </c>
      <c r="C584" t="s">
        <v>1157</v>
      </c>
      <c r="D584" t="s">
        <v>106</v>
      </c>
    </row>
    <row r="585" spans="1:4" x14ac:dyDescent="0.25">
      <c r="A585" t="s">
        <v>1158</v>
      </c>
      <c r="B585" t="s">
        <v>33</v>
      </c>
      <c r="C585" t="s">
        <v>1159</v>
      </c>
      <c r="D585" t="s">
        <v>106</v>
      </c>
    </row>
    <row r="586" spans="1:4" x14ac:dyDescent="0.25">
      <c r="A586" t="s">
        <v>1160</v>
      </c>
      <c r="B586" t="s">
        <v>33</v>
      </c>
      <c r="C586" t="s">
        <v>1161</v>
      </c>
      <c r="D586" t="s">
        <v>106</v>
      </c>
    </row>
    <row r="587" spans="1:4" x14ac:dyDescent="0.25">
      <c r="A587" t="s">
        <v>1162</v>
      </c>
      <c r="B587" t="s">
        <v>33</v>
      </c>
      <c r="C587" t="s">
        <v>1163</v>
      </c>
      <c r="D587" t="s">
        <v>106</v>
      </c>
    </row>
    <row r="588" spans="1:4" x14ac:dyDescent="0.25">
      <c r="A588" t="s">
        <v>1164</v>
      </c>
      <c r="B588" t="s">
        <v>33</v>
      </c>
      <c r="C588" t="s">
        <v>1165</v>
      </c>
      <c r="D588" t="s">
        <v>16</v>
      </c>
    </row>
    <row r="589" spans="1:4" x14ac:dyDescent="0.25">
      <c r="A589" t="s">
        <v>1166</v>
      </c>
      <c r="B589" t="s">
        <v>33</v>
      </c>
      <c r="C589" t="s">
        <v>1167</v>
      </c>
      <c r="D589" t="s">
        <v>106</v>
      </c>
    </row>
    <row r="590" spans="1:4" x14ac:dyDescent="0.25">
      <c r="A590" t="s">
        <v>1168</v>
      </c>
      <c r="B590" t="s">
        <v>33</v>
      </c>
      <c r="C590" t="s">
        <v>1169</v>
      </c>
      <c r="D590" t="s">
        <v>106</v>
      </c>
    </row>
    <row r="591" spans="1:4" x14ac:dyDescent="0.25">
      <c r="A591" t="s">
        <v>1170</v>
      </c>
      <c r="B591" t="s">
        <v>33</v>
      </c>
      <c r="C591" t="s">
        <v>1171</v>
      </c>
      <c r="D591" t="s">
        <v>106</v>
      </c>
    </row>
    <row r="592" spans="1:4" x14ac:dyDescent="0.25">
      <c r="A592" t="s">
        <v>1172</v>
      </c>
      <c r="B592" t="s">
        <v>33</v>
      </c>
      <c r="C592" t="s">
        <v>1173</v>
      </c>
      <c r="D592" t="s">
        <v>16</v>
      </c>
    </row>
    <row r="593" spans="1:4" x14ac:dyDescent="0.25">
      <c r="A593" t="s">
        <v>1174</v>
      </c>
      <c r="B593" t="s">
        <v>33</v>
      </c>
      <c r="C593" t="s">
        <v>1175</v>
      </c>
      <c r="D593" t="s">
        <v>106</v>
      </c>
    </row>
    <row r="594" spans="1:4" x14ac:dyDescent="0.25">
      <c r="A594" t="s">
        <v>1176</v>
      </c>
      <c r="B594" t="s">
        <v>33</v>
      </c>
      <c r="C594" t="s">
        <v>1177</v>
      </c>
      <c r="D594" t="s">
        <v>106</v>
      </c>
    </row>
    <row r="595" spans="1:4" x14ac:dyDescent="0.25">
      <c r="A595" t="s">
        <v>1178</v>
      </c>
      <c r="B595" t="s">
        <v>33</v>
      </c>
      <c r="C595" t="s">
        <v>1179</v>
      </c>
      <c r="D595" t="s">
        <v>106</v>
      </c>
    </row>
    <row r="596" spans="1:4" x14ac:dyDescent="0.25">
      <c r="A596" t="s">
        <v>1180</v>
      </c>
      <c r="B596" t="s">
        <v>33</v>
      </c>
      <c r="C596" t="s">
        <v>1181</v>
      </c>
      <c r="D596" t="s">
        <v>106</v>
      </c>
    </row>
    <row r="597" spans="1:4" x14ac:dyDescent="0.25">
      <c r="A597" t="s">
        <v>1182</v>
      </c>
      <c r="B597" t="s">
        <v>33</v>
      </c>
      <c r="C597" t="s">
        <v>1183</v>
      </c>
      <c r="D597" t="s">
        <v>106</v>
      </c>
    </row>
    <row r="598" spans="1:4" x14ac:dyDescent="0.25">
      <c r="A598" t="s">
        <v>1184</v>
      </c>
      <c r="B598" t="s">
        <v>33</v>
      </c>
      <c r="C598" t="s">
        <v>1185</v>
      </c>
      <c r="D598" t="s">
        <v>106</v>
      </c>
    </row>
    <row r="599" spans="1:4" x14ac:dyDescent="0.25">
      <c r="A599" t="s">
        <v>1186</v>
      </c>
      <c r="B599" t="s">
        <v>33</v>
      </c>
      <c r="C599" t="s">
        <v>1187</v>
      </c>
      <c r="D599" t="s">
        <v>106</v>
      </c>
    </row>
    <row r="600" spans="1:4" x14ac:dyDescent="0.25">
      <c r="A600" t="s">
        <v>1188</v>
      </c>
      <c r="B600" t="s">
        <v>33</v>
      </c>
      <c r="C600" t="s">
        <v>1189</v>
      </c>
      <c r="D600" t="s">
        <v>106</v>
      </c>
    </row>
    <row r="601" spans="1:4" x14ac:dyDescent="0.25">
      <c r="A601" t="s">
        <v>1190</v>
      </c>
      <c r="B601" t="s">
        <v>33</v>
      </c>
      <c r="C601" t="s">
        <v>1191</v>
      </c>
      <c r="D601" t="s">
        <v>106</v>
      </c>
    </row>
    <row r="602" spans="1:4" x14ac:dyDescent="0.25">
      <c r="A602" t="s">
        <v>1192</v>
      </c>
      <c r="B602" t="s">
        <v>33</v>
      </c>
      <c r="C602" t="s">
        <v>1193</v>
      </c>
      <c r="D602" t="s">
        <v>106</v>
      </c>
    </row>
    <row r="603" spans="1:4" x14ac:dyDescent="0.25">
      <c r="A603" t="s">
        <v>1194</v>
      </c>
      <c r="B603" t="s">
        <v>33</v>
      </c>
      <c r="C603" t="s">
        <v>1195</v>
      </c>
      <c r="D603" t="s">
        <v>106</v>
      </c>
    </row>
    <row r="604" spans="1:4" x14ac:dyDescent="0.25">
      <c r="A604" t="s">
        <v>1196</v>
      </c>
      <c r="B604" t="s">
        <v>33</v>
      </c>
      <c r="C604" t="s">
        <v>1197</v>
      </c>
      <c r="D604" t="s">
        <v>106</v>
      </c>
    </row>
    <row r="605" spans="1:4" x14ac:dyDescent="0.25">
      <c r="A605" t="s">
        <v>1198</v>
      </c>
      <c r="B605" t="s">
        <v>33</v>
      </c>
      <c r="C605" t="s">
        <v>1199</v>
      </c>
      <c r="D605" t="s">
        <v>106</v>
      </c>
    </row>
    <row r="606" spans="1:4" x14ac:dyDescent="0.25">
      <c r="A606" t="s">
        <v>1200</v>
      </c>
      <c r="B606" t="s">
        <v>33</v>
      </c>
      <c r="C606" t="s">
        <v>1201</v>
      </c>
      <c r="D606" t="s">
        <v>106</v>
      </c>
    </row>
    <row r="607" spans="1:4" x14ac:dyDescent="0.25">
      <c r="A607" t="s">
        <v>1202</v>
      </c>
      <c r="B607" t="s">
        <v>33</v>
      </c>
      <c r="C607" t="s">
        <v>1203</v>
      </c>
      <c r="D607" t="s">
        <v>106</v>
      </c>
    </row>
    <row r="608" spans="1:4" x14ac:dyDescent="0.25">
      <c r="A608" t="s">
        <v>1204</v>
      </c>
      <c r="B608" t="s">
        <v>33</v>
      </c>
      <c r="C608" t="s">
        <v>1205</v>
      </c>
      <c r="D608" t="s">
        <v>106</v>
      </c>
    </row>
    <row r="609" spans="1:4" x14ac:dyDescent="0.25">
      <c r="A609" t="s">
        <v>1206</v>
      </c>
      <c r="B609" t="s">
        <v>33</v>
      </c>
      <c r="C609" t="s">
        <v>1207</v>
      </c>
      <c r="D609" t="s">
        <v>106</v>
      </c>
    </row>
    <row r="610" spans="1:4" x14ac:dyDescent="0.25">
      <c r="A610" t="s">
        <v>1208</v>
      </c>
      <c r="B610" t="s">
        <v>33</v>
      </c>
      <c r="C610" t="s">
        <v>1209</v>
      </c>
      <c r="D610" t="s">
        <v>106</v>
      </c>
    </row>
    <row r="611" spans="1:4" x14ac:dyDescent="0.25">
      <c r="A611" t="s">
        <v>1210</v>
      </c>
      <c r="B611" t="s">
        <v>33</v>
      </c>
      <c r="C611" t="s">
        <v>1211</v>
      </c>
      <c r="D611" t="s">
        <v>106</v>
      </c>
    </row>
    <row r="612" spans="1:4" x14ac:dyDescent="0.25">
      <c r="A612" t="s">
        <v>1212</v>
      </c>
      <c r="B612" t="s">
        <v>33</v>
      </c>
      <c r="C612" t="s">
        <v>1213</v>
      </c>
      <c r="D612" t="s">
        <v>106</v>
      </c>
    </row>
    <row r="613" spans="1:4" x14ac:dyDescent="0.25">
      <c r="A613" t="s">
        <v>1214</v>
      </c>
      <c r="B613" t="s">
        <v>33</v>
      </c>
      <c r="C613" t="s">
        <v>1215</v>
      </c>
      <c r="D613" t="s">
        <v>106</v>
      </c>
    </row>
    <row r="614" spans="1:4" x14ac:dyDescent="0.25">
      <c r="A614" t="s">
        <v>1216</v>
      </c>
      <c r="B614" t="s">
        <v>33</v>
      </c>
      <c r="C614" t="s">
        <v>1217</v>
      </c>
      <c r="D614" t="s">
        <v>106</v>
      </c>
    </row>
    <row r="615" spans="1:4" x14ac:dyDescent="0.25">
      <c r="A615" t="s">
        <v>1218</v>
      </c>
      <c r="B615" t="s">
        <v>33</v>
      </c>
      <c r="C615" t="s">
        <v>1219</v>
      </c>
      <c r="D615" t="s">
        <v>106</v>
      </c>
    </row>
    <row r="616" spans="1:4" x14ac:dyDescent="0.25">
      <c r="A616" t="s">
        <v>1220</v>
      </c>
      <c r="B616" t="s">
        <v>33</v>
      </c>
      <c r="C616" t="s">
        <v>1221</v>
      </c>
      <c r="D616" t="s">
        <v>106</v>
      </c>
    </row>
    <row r="617" spans="1:4" x14ac:dyDescent="0.25">
      <c r="A617" t="s">
        <v>1222</v>
      </c>
      <c r="B617" t="s">
        <v>33</v>
      </c>
      <c r="C617" t="s">
        <v>1223</v>
      </c>
      <c r="D617" t="s">
        <v>106</v>
      </c>
    </row>
    <row r="618" spans="1:4" x14ac:dyDescent="0.25">
      <c r="A618" t="s">
        <v>1224</v>
      </c>
      <c r="B618" t="s">
        <v>33</v>
      </c>
      <c r="C618" t="s">
        <v>1225</v>
      </c>
      <c r="D618" t="s">
        <v>106</v>
      </c>
    </row>
    <row r="619" spans="1:4" x14ac:dyDescent="0.25">
      <c r="A619" t="s">
        <v>1226</v>
      </c>
      <c r="B619" t="s">
        <v>33</v>
      </c>
      <c r="C619" t="s">
        <v>1227</v>
      </c>
      <c r="D619" t="s">
        <v>106</v>
      </c>
    </row>
    <row r="620" spans="1:4" x14ac:dyDescent="0.25">
      <c r="A620" t="s">
        <v>1228</v>
      </c>
      <c r="B620" t="s">
        <v>33</v>
      </c>
      <c r="C620" t="s">
        <v>1229</v>
      </c>
      <c r="D620" t="s">
        <v>106</v>
      </c>
    </row>
    <row r="621" spans="1:4" x14ac:dyDescent="0.25">
      <c r="A621" t="s">
        <v>1230</v>
      </c>
      <c r="B621" t="s">
        <v>33</v>
      </c>
      <c r="C621" t="s">
        <v>1231</v>
      </c>
      <c r="D621" t="s">
        <v>106</v>
      </c>
    </row>
    <row r="622" spans="1:4" x14ac:dyDescent="0.25">
      <c r="A622" t="s">
        <v>1232</v>
      </c>
      <c r="B622" t="s">
        <v>33</v>
      </c>
      <c r="C622" t="s">
        <v>1233</v>
      </c>
      <c r="D622" t="s">
        <v>106</v>
      </c>
    </row>
    <row r="623" spans="1:4" x14ac:dyDescent="0.25">
      <c r="A623" t="s">
        <v>1234</v>
      </c>
      <c r="B623" t="s">
        <v>33</v>
      </c>
      <c r="C623" t="s">
        <v>1235</v>
      </c>
      <c r="D623" t="s">
        <v>106</v>
      </c>
    </row>
    <row r="624" spans="1:4" x14ac:dyDescent="0.25">
      <c r="A624" t="s">
        <v>1236</v>
      </c>
      <c r="B624" t="s">
        <v>33</v>
      </c>
      <c r="C624" t="s">
        <v>1237</v>
      </c>
      <c r="D624" t="s">
        <v>106</v>
      </c>
    </row>
    <row r="625" spans="1:4" x14ac:dyDescent="0.25">
      <c r="A625" t="s">
        <v>1238</v>
      </c>
      <c r="B625" t="s">
        <v>33</v>
      </c>
      <c r="C625" t="s">
        <v>1239</v>
      </c>
      <c r="D625" t="s">
        <v>106</v>
      </c>
    </row>
    <row r="626" spans="1:4" x14ac:dyDescent="0.25">
      <c r="A626" t="s">
        <v>1240</v>
      </c>
      <c r="B626" t="s">
        <v>33</v>
      </c>
      <c r="C626" t="s">
        <v>1241</v>
      </c>
      <c r="D626" t="s">
        <v>106</v>
      </c>
    </row>
    <row r="627" spans="1:4" x14ac:dyDescent="0.25">
      <c r="A627" t="s">
        <v>1242</v>
      </c>
      <c r="B627" t="s">
        <v>33</v>
      </c>
      <c r="C627" t="s">
        <v>1243</v>
      </c>
      <c r="D627" t="s">
        <v>106</v>
      </c>
    </row>
    <row r="628" spans="1:4" x14ac:dyDescent="0.25">
      <c r="A628" t="s">
        <v>1244</v>
      </c>
      <c r="B628" t="s">
        <v>33</v>
      </c>
      <c r="C628" t="s">
        <v>1245</v>
      </c>
      <c r="D628" t="s">
        <v>106</v>
      </c>
    </row>
    <row r="629" spans="1:4" x14ac:dyDescent="0.25">
      <c r="A629" t="s">
        <v>1246</v>
      </c>
      <c r="B629" t="s">
        <v>33</v>
      </c>
      <c r="C629" t="s">
        <v>1247</v>
      </c>
      <c r="D629" t="s">
        <v>106</v>
      </c>
    </row>
    <row r="630" spans="1:4" x14ac:dyDescent="0.25">
      <c r="A630" t="s">
        <v>1248</v>
      </c>
      <c r="B630" t="s">
        <v>33</v>
      </c>
      <c r="C630" t="s">
        <v>1249</v>
      </c>
      <c r="D630" t="s">
        <v>106</v>
      </c>
    </row>
    <row r="631" spans="1:4" x14ac:dyDescent="0.25">
      <c r="A631" t="s">
        <v>1250</v>
      </c>
      <c r="B631" t="s">
        <v>33</v>
      </c>
      <c r="C631" t="s">
        <v>1251</v>
      </c>
      <c r="D631" t="s">
        <v>106</v>
      </c>
    </row>
    <row r="632" spans="1:4" x14ac:dyDescent="0.25">
      <c r="A632" t="s">
        <v>1252</v>
      </c>
      <c r="B632" t="s">
        <v>33</v>
      </c>
      <c r="C632" t="s">
        <v>1253</v>
      </c>
      <c r="D632" t="s">
        <v>106</v>
      </c>
    </row>
    <row r="633" spans="1:4" x14ac:dyDescent="0.25">
      <c r="A633" t="s">
        <v>1254</v>
      </c>
      <c r="B633" t="s">
        <v>33</v>
      </c>
      <c r="C633" t="s">
        <v>1255</v>
      </c>
      <c r="D633" t="s">
        <v>106</v>
      </c>
    </row>
    <row r="634" spans="1:4" x14ac:dyDescent="0.25">
      <c r="A634" t="s">
        <v>1256</v>
      </c>
      <c r="B634" t="s">
        <v>33</v>
      </c>
      <c r="C634" t="s">
        <v>1257</v>
      </c>
      <c r="D634" t="s">
        <v>106</v>
      </c>
    </row>
    <row r="635" spans="1:4" x14ac:dyDescent="0.25">
      <c r="A635" t="s">
        <v>1258</v>
      </c>
      <c r="B635" t="s">
        <v>33</v>
      </c>
      <c r="C635" t="s">
        <v>1259</v>
      </c>
      <c r="D635" t="s">
        <v>106</v>
      </c>
    </row>
    <row r="636" spans="1:4" x14ac:dyDescent="0.25">
      <c r="A636" t="s">
        <v>1260</v>
      </c>
      <c r="B636" t="s">
        <v>33</v>
      </c>
      <c r="C636" t="s">
        <v>1261</v>
      </c>
      <c r="D636" t="s">
        <v>106</v>
      </c>
    </row>
    <row r="637" spans="1:4" x14ac:dyDescent="0.25">
      <c r="A637" t="s">
        <v>1262</v>
      </c>
      <c r="B637" t="s">
        <v>33</v>
      </c>
      <c r="C637" t="s">
        <v>1263</v>
      </c>
      <c r="D637" t="s">
        <v>106</v>
      </c>
    </row>
    <row r="638" spans="1:4" x14ac:dyDescent="0.25">
      <c r="A638" t="s">
        <v>1264</v>
      </c>
      <c r="B638" t="s">
        <v>33</v>
      </c>
      <c r="C638" t="s">
        <v>1265</v>
      </c>
      <c r="D638" t="s">
        <v>106</v>
      </c>
    </row>
    <row r="639" spans="1:4" x14ac:dyDescent="0.25">
      <c r="A639" t="s">
        <v>1266</v>
      </c>
      <c r="B639" t="s">
        <v>33</v>
      </c>
      <c r="C639" t="s">
        <v>1267</v>
      </c>
      <c r="D639" t="s">
        <v>106</v>
      </c>
    </row>
    <row r="640" spans="1:4" x14ac:dyDescent="0.25">
      <c r="A640" t="s">
        <v>1268</v>
      </c>
      <c r="B640" t="s">
        <v>33</v>
      </c>
      <c r="C640" t="s">
        <v>1269</v>
      </c>
      <c r="D640" t="s">
        <v>106</v>
      </c>
    </row>
    <row r="641" spans="1:4" x14ac:dyDescent="0.25">
      <c r="A641" t="s">
        <v>1270</v>
      </c>
      <c r="B641" t="s">
        <v>33</v>
      </c>
      <c r="C641" t="s">
        <v>1271</v>
      </c>
      <c r="D641" t="s">
        <v>106</v>
      </c>
    </row>
    <row r="642" spans="1:4" x14ac:dyDescent="0.25">
      <c r="A642" t="s">
        <v>1272</v>
      </c>
      <c r="B642" t="s">
        <v>33</v>
      </c>
      <c r="C642" t="s">
        <v>1273</v>
      </c>
      <c r="D642" t="s">
        <v>106</v>
      </c>
    </row>
    <row r="643" spans="1:4" x14ac:dyDescent="0.25">
      <c r="A643" t="s">
        <v>1274</v>
      </c>
      <c r="B643" t="s">
        <v>33</v>
      </c>
      <c r="C643" t="s">
        <v>1275</v>
      </c>
      <c r="D643" t="s">
        <v>106</v>
      </c>
    </row>
    <row r="644" spans="1:4" x14ac:dyDescent="0.25">
      <c r="A644" t="s">
        <v>1276</v>
      </c>
      <c r="B644" t="s">
        <v>33</v>
      </c>
      <c r="C644" t="s">
        <v>1277</v>
      </c>
      <c r="D644" t="s">
        <v>106</v>
      </c>
    </row>
    <row r="645" spans="1:4" x14ac:dyDescent="0.25">
      <c r="A645" t="s">
        <v>1278</v>
      </c>
      <c r="B645" t="s">
        <v>33</v>
      </c>
      <c r="C645" t="s">
        <v>1279</v>
      </c>
      <c r="D645" t="s">
        <v>106</v>
      </c>
    </row>
    <row r="646" spans="1:4" x14ac:dyDescent="0.25">
      <c r="A646" t="s">
        <v>1280</v>
      </c>
      <c r="B646" t="s">
        <v>33</v>
      </c>
      <c r="C646" t="s">
        <v>1281</v>
      </c>
      <c r="D646" t="s">
        <v>106</v>
      </c>
    </row>
    <row r="647" spans="1:4" x14ac:dyDescent="0.25">
      <c r="A647" t="s">
        <v>1282</v>
      </c>
      <c r="B647" t="s">
        <v>33</v>
      </c>
      <c r="C647" t="s">
        <v>1283</v>
      </c>
      <c r="D647" t="s">
        <v>106</v>
      </c>
    </row>
    <row r="648" spans="1:4" x14ac:dyDescent="0.25">
      <c r="A648" t="s">
        <v>1284</v>
      </c>
      <c r="B648" t="s">
        <v>33</v>
      </c>
      <c r="C648" t="s">
        <v>1285</v>
      </c>
      <c r="D648" t="s">
        <v>106</v>
      </c>
    </row>
    <row r="649" spans="1:4" x14ac:dyDescent="0.25">
      <c r="A649" t="s">
        <v>1286</v>
      </c>
      <c r="B649" t="s">
        <v>33</v>
      </c>
      <c r="C649" t="s">
        <v>1287</v>
      </c>
      <c r="D649" t="s">
        <v>106</v>
      </c>
    </row>
    <row r="650" spans="1:4" x14ac:dyDescent="0.25">
      <c r="A650" t="s">
        <v>1288</v>
      </c>
      <c r="B650" t="s">
        <v>33</v>
      </c>
      <c r="C650" t="s">
        <v>1289</v>
      </c>
      <c r="D650" t="s">
        <v>106</v>
      </c>
    </row>
    <row r="651" spans="1:4" x14ac:dyDescent="0.25">
      <c r="A651" t="s">
        <v>1290</v>
      </c>
      <c r="B651" t="s">
        <v>33</v>
      </c>
      <c r="C651" t="s">
        <v>1291</v>
      </c>
      <c r="D651" t="s">
        <v>106</v>
      </c>
    </row>
    <row r="652" spans="1:4" x14ac:dyDescent="0.25">
      <c r="A652" t="s">
        <v>1292</v>
      </c>
      <c r="B652" t="s">
        <v>33</v>
      </c>
      <c r="C652" t="s">
        <v>1293</v>
      </c>
      <c r="D652" t="s">
        <v>106</v>
      </c>
    </row>
    <row r="653" spans="1:4" x14ac:dyDescent="0.25">
      <c r="A653" t="s">
        <v>1294</v>
      </c>
      <c r="B653" t="s">
        <v>33</v>
      </c>
      <c r="C653" t="s">
        <v>1295</v>
      </c>
      <c r="D653" t="s">
        <v>106</v>
      </c>
    </row>
    <row r="654" spans="1:4" x14ac:dyDescent="0.25">
      <c r="A654" t="s">
        <v>1296</v>
      </c>
      <c r="B654" t="s">
        <v>33</v>
      </c>
      <c r="C654" t="s">
        <v>1297</v>
      </c>
      <c r="D654" t="s">
        <v>106</v>
      </c>
    </row>
    <row r="655" spans="1:4" x14ac:dyDescent="0.25">
      <c r="A655" t="s">
        <v>1298</v>
      </c>
      <c r="B655" t="s">
        <v>33</v>
      </c>
      <c r="C655" t="s">
        <v>1299</v>
      </c>
      <c r="D655" t="s">
        <v>106</v>
      </c>
    </row>
    <row r="656" spans="1:4" x14ac:dyDescent="0.25">
      <c r="A656" t="s">
        <v>1300</v>
      </c>
      <c r="B656" t="s">
        <v>33</v>
      </c>
      <c r="C656" t="s">
        <v>1301</v>
      </c>
      <c r="D656" t="s">
        <v>106</v>
      </c>
    </row>
    <row r="657" spans="1:4" x14ac:dyDescent="0.25">
      <c r="A657" t="s">
        <v>1302</v>
      </c>
      <c r="B657" t="s">
        <v>33</v>
      </c>
      <c r="C657" t="s">
        <v>1303</v>
      </c>
      <c r="D657" t="s">
        <v>106</v>
      </c>
    </row>
    <row r="658" spans="1:4" x14ac:dyDescent="0.25">
      <c r="A658" t="s">
        <v>1304</v>
      </c>
      <c r="B658" t="s">
        <v>33</v>
      </c>
      <c r="C658" t="s">
        <v>1305</v>
      </c>
      <c r="D658" t="s">
        <v>106</v>
      </c>
    </row>
    <row r="659" spans="1:4" x14ac:dyDescent="0.25">
      <c r="A659" t="s">
        <v>1306</v>
      </c>
      <c r="B659" t="s">
        <v>33</v>
      </c>
      <c r="C659" t="s">
        <v>1307</v>
      </c>
      <c r="D659" t="s">
        <v>106</v>
      </c>
    </row>
    <row r="660" spans="1:4" x14ac:dyDescent="0.25">
      <c r="A660" t="s">
        <v>1308</v>
      </c>
      <c r="B660" t="s">
        <v>33</v>
      </c>
      <c r="C660" t="s">
        <v>1307</v>
      </c>
      <c r="D660" t="s">
        <v>106</v>
      </c>
    </row>
    <row r="661" spans="1:4" x14ac:dyDescent="0.25">
      <c r="A661" t="s">
        <v>1309</v>
      </c>
      <c r="B661" t="s">
        <v>33</v>
      </c>
      <c r="C661" t="s">
        <v>1310</v>
      </c>
      <c r="D661" t="s">
        <v>106</v>
      </c>
    </row>
    <row r="662" spans="1:4" x14ac:dyDescent="0.25">
      <c r="A662" t="s">
        <v>1311</v>
      </c>
      <c r="B662" t="s">
        <v>33</v>
      </c>
      <c r="C662" t="s">
        <v>1312</v>
      </c>
      <c r="D662" t="s">
        <v>106</v>
      </c>
    </row>
    <row r="663" spans="1:4" x14ac:dyDescent="0.25">
      <c r="A663" t="s">
        <v>1313</v>
      </c>
      <c r="B663" t="s">
        <v>33</v>
      </c>
      <c r="C663" t="s">
        <v>1314</v>
      </c>
      <c r="D663" t="s">
        <v>106</v>
      </c>
    </row>
    <row r="664" spans="1:4" x14ac:dyDescent="0.25">
      <c r="A664" t="s">
        <v>1315</v>
      </c>
      <c r="B664" t="s">
        <v>33</v>
      </c>
      <c r="C664" t="s">
        <v>1316</v>
      </c>
      <c r="D664" t="s">
        <v>106</v>
      </c>
    </row>
    <row r="665" spans="1:4" x14ac:dyDescent="0.25">
      <c r="A665" t="s">
        <v>1317</v>
      </c>
      <c r="B665" t="s">
        <v>33</v>
      </c>
      <c r="C665" t="s">
        <v>1318</v>
      </c>
      <c r="D665" t="s">
        <v>106</v>
      </c>
    </row>
    <row r="666" spans="1:4" x14ac:dyDescent="0.25">
      <c r="A666" t="s">
        <v>1319</v>
      </c>
      <c r="B666" t="s">
        <v>33</v>
      </c>
      <c r="C666" t="s">
        <v>1320</v>
      </c>
      <c r="D666" t="s">
        <v>106</v>
      </c>
    </row>
    <row r="667" spans="1:4" x14ac:dyDescent="0.25">
      <c r="A667" t="s">
        <v>1321</v>
      </c>
      <c r="B667" t="s">
        <v>33</v>
      </c>
      <c r="C667" t="s">
        <v>1322</v>
      </c>
      <c r="D667" t="s">
        <v>106</v>
      </c>
    </row>
    <row r="668" spans="1:4" x14ac:dyDescent="0.25">
      <c r="A668" t="s">
        <v>1323</v>
      </c>
      <c r="B668" t="s">
        <v>33</v>
      </c>
      <c r="C668" t="s">
        <v>1324</v>
      </c>
      <c r="D668" t="s">
        <v>106</v>
      </c>
    </row>
    <row r="669" spans="1:4" x14ac:dyDescent="0.25">
      <c r="A669" t="s">
        <v>1325</v>
      </c>
      <c r="B669" t="s">
        <v>33</v>
      </c>
      <c r="C669" t="s">
        <v>1326</v>
      </c>
      <c r="D669" t="s">
        <v>106</v>
      </c>
    </row>
    <row r="670" spans="1:4" x14ac:dyDescent="0.25">
      <c r="A670" t="s">
        <v>1327</v>
      </c>
      <c r="B670" t="s">
        <v>33</v>
      </c>
      <c r="C670" t="s">
        <v>1328</v>
      </c>
      <c r="D670" t="s">
        <v>106</v>
      </c>
    </row>
    <row r="671" spans="1:4" x14ac:dyDescent="0.25">
      <c r="A671" t="s">
        <v>1329</v>
      </c>
      <c r="B671" t="s">
        <v>33</v>
      </c>
      <c r="C671" t="s">
        <v>1330</v>
      </c>
      <c r="D671" t="s">
        <v>106</v>
      </c>
    </row>
    <row r="672" spans="1:4" x14ac:dyDescent="0.25">
      <c r="A672" t="s">
        <v>1331</v>
      </c>
      <c r="B672" t="s">
        <v>33</v>
      </c>
      <c r="C672" t="s">
        <v>1332</v>
      </c>
      <c r="D672" t="s">
        <v>106</v>
      </c>
    </row>
    <row r="673" spans="1:4" x14ac:dyDescent="0.25">
      <c r="A673" t="s">
        <v>1333</v>
      </c>
      <c r="B673" t="s">
        <v>33</v>
      </c>
      <c r="C673" t="s">
        <v>1334</v>
      </c>
      <c r="D673" t="s">
        <v>106</v>
      </c>
    </row>
    <row r="674" spans="1:4" x14ac:dyDescent="0.25">
      <c r="A674" t="s">
        <v>1335</v>
      </c>
      <c r="B674" t="s">
        <v>33</v>
      </c>
      <c r="C674" t="s">
        <v>1336</v>
      </c>
      <c r="D674" t="s">
        <v>106</v>
      </c>
    </row>
    <row r="675" spans="1:4" x14ac:dyDescent="0.25">
      <c r="A675" t="s">
        <v>1337</v>
      </c>
      <c r="B675" t="s">
        <v>33</v>
      </c>
      <c r="C675" t="s">
        <v>1338</v>
      </c>
      <c r="D675" t="s">
        <v>106</v>
      </c>
    </row>
    <row r="676" spans="1:4" x14ac:dyDescent="0.25">
      <c r="A676" t="s">
        <v>1339</v>
      </c>
      <c r="B676" t="s">
        <v>33</v>
      </c>
      <c r="C676" t="s">
        <v>1340</v>
      </c>
      <c r="D676" t="s">
        <v>106</v>
      </c>
    </row>
    <row r="677" spans="1:4" x14ac:dyDescent="0.25">
      <c r="A677" t="s">
        <v>1341</v>
      </c>
      <c r="B677" t="s">
        <v>33</v>
      </c>
      <c r="C677" t="s">
        <v>1342</v>
      </c>
      <c r="D677" t="s">
        <v>106</v>
      </c>
    </row>
    <row r="678" spans="1:4" x14ac:dyDescent="0.25">
      <c r="A678" t="s">
        <v>1343</v>
      </c>
      <c r="B678" t="s">
        <v>33</v>
      </c>
      <c r="C678" t="s">
        <v>1344</v>
      </c>
      <c r="D678" t="s">
        <v>106</v>
      </c>
    </row>
    <row r="679" spans="1:4" x14ac:dyDescent="0.25">
      <c r="A679" t="s">
        <v>1345</v>
      </c>
      <c r="B679" t="s">
        <v>33</v>
      </c>
      <c r="C679" t="s">
        <v>1346</v>
      </c>
      <c r="D679" t="s">
        <v>106</v>
      </c>
    </row>
    <row r="680" spans="1:4" x14ac:dyDescent="0.25">
      <c r="A680" t="s">
        <v>1347</v>
      </c>
      <c r="B680" t="s">
        <v>33</v>
      </c>
      <c r="C680" t="s">
        <v>1348</v>
      </c>
      <c r="D680" t="s">
        <v>106</v>
      </c>
    </row>
    <row r="681" spans="1:4" x14ac:dyDescent="0.25">
      <c r="A681" t="s">
        <v>1349</v>
      </c>
      <c r="B681" t="s">
        <v>33</v>
      </c>
      <c r="C681" t="s">
        <v>1350</v>
      </c>
      <c r="D681" t="s">
        <v>106</v>
      </c>
    </row>
    <row r="682" spans="1:4" x14ac:dyDescent="0.25">
      <c r="A682" t="s">
        <v>1351</v>
      </c>
      <c r="B682" t="s">
        <v>33</v>
      </c>
      <c r="C682" t="s">
        <v>1352</v>
      </c>
      <c r="D682" t="s">
        <v>106</v>
      </c>
    </row>
    <row r="683" spans="1:4" x14ac:dyDescent="0.25">
      <c r="A683" t="s">
        <v>1353</v>
      </c>
      <c r="B683" t="s">
        <v>33</v>
      </c>
      <c r="C683" t="s">
        <v>1354</v>
      </c>
      <c r="D683" t="s">
        <v>106</v>
      </c>
    </row>
    <row r="684" spans="1:4" x14ac:dyDescent="0.25">
      <c r="A684" t="s">
        <v>1355</v>
      </c>
      <c r="B684" t="s">
        <v>33</v>
      </c>
      <c r="C684" t="s">
        <v>1356</v>
      </c>
      <c r="D684" t="s">
        <v>106</v>
      </c>
    </row>
    <row r="685" spans="1:4" x14ac:dyDescent="0.25">
      <c r="A685" t="s">
        <v>1357</v>
      </c>
      <c r="B685" t="s">
        <v>33</v>
      </c>
      <c r="C685" t="s">
        <v>1358</v>
      </c>
      <c r="D685" t="s">
        <v>106</v>
      </c>
    </row>
    <row r="686" spans="1:4" x14ac:dyDescent="0.25">
      <c r="A686" t="s">
        <v>1359</v>
      </c>
      <c r="B686" t="s">
        <v>33</v>
      </c>
      <c r="C686" t="s">
        <v>1360</v>
      </c>
      <c r="D686" t="s">
        <v>106</v>
      </c>
    </row>
    <row r="687" spans="1:4" x14ac:dyDescent="0.25">
      <c r="A687" t="s">
        <v>1361</v>
      </c>
      <c r="B687" t="s">
        <v>33</v>
      </c>
      <c r="C687" t="s">
        <v>1362</v>
      </c>
      <c r="D687" t="s">
        <v>106</v>
      </c>
    </row>
    <row r="688" spans="1:4" x14ac:dyDescent="0.25">
      <c r="A688" t="s">
        <v>1363</v>
      </c>
      <c r="B688" t="s">
        <v>33</v>
      </c>
      <c r="C688" t="s">
        <v>1364</v>
      </c>
      <c r="D688" t="s">
        <v>50</v>
      </c>
    </row>
    <row r="689" spans="1:4" x14ac:dyDescent="0.25">
      <c r="A689" t="s">
        <v>1365</v>
      </c>
      <c r="B689" t="s">
        <v>33</v>
      </c>
      <c r="C689" t="s">
        <v>1366</v>
      </c>
      <c r="D689" t="s">
        <v>106</v>
      </c>
    </row>
    <row r="690" spans="1:4" x14ac:dyDescent="0.25">
      <c r="A690" t="s">
        <v>1367</v>
      </c>
      <c r="B690" t="s">
        <v>33</v>
      </c>
      <c r="C690" t="s">
        <v>1368</v>
      </c>
      <c r="D690" t="s">
        <v>329</v>
      </c>
    </row>
    <row r="691" spans="1:4" x14ac:dyDescent="0.25">
      <c r="A691" t="s">
        <v>1369</v>
      </c>
      <c r="B691" t="s">
        <v>33</v>
      </c>
      <c r="C691" t="s">
        <v>1370</v>
      </c>
      <c r="D691" t="s">
        <v>106</v>
      </c>
    </row>
    <row r="692" spans="1:4" x14ac:dyDescent="0.25">
      <c r="A692" t="s">
        <v>1371</v>
      </c>
      <c r="B692" t="s">
        <v>33</v>
      </c>
      <c r="C692" t="s">
        <v>1372</v>
      </c>
      <c r="D692" t="s">
        <v>106</v>
      </c>
    </row>
    <row r="693" spans="1:4" x14ac:dyDescent="0.25">
      <c r="A693" t="s">
        <v>1373</v>
      </c>
      <c r="B693" t="s">
        <v>33</v>
      </c>
      <c r="C693" t="s">
        <v>1374</v>
      </c>
      <c r="D693" t="s">
        <v>106</v>
      </c>
    </row>
    <row r="694" spans="1:4" x14ac:dyDescent="0.25">
      <c r="A694" t="s">
        <v>1375</v>
      </c>
      <c r="B694" t="s">
        <v>33</v>
      </c>
      <c r="C694" t="s">
        <v>1376</v>
      </c>
      <c r="D694" t="s">
        <v>106</v>
      </c>
    </row>
    <row r="695" spans="1:4" x14ac:dyDescent="0.25">
      <c r="A695" t="s">
        <v>1377</v>
      </c>
      <c r="B695" t="s">
        <v>33</v>
      </c>
      <c r="C695" t="s">
        <v>1378</v>
      </c>
      <c r="D695" t="s">
        <v>106</v>
      </c>
    </row>
    <row r="696" spans="1:4" x14ac:dyDescent="0.25">
      <c r="A696" t="s">
        <v>1379</v>
      </c>
      <c r="B696" t="s">
        <v>33</v>
      </c>
      <c r="C696" t="s">
        <v>1380</v>
      </c>
      <c r="D696" t="s">
        <v>106</v>
      </c>
    </row>
    <row r="697" spans="1:4" x14ac:dyDescent="0.25">
      <c r="A697" t="s">
        <v>1381</v>
      </c>
      <c r="B697" t="s">
        <v>33</v>
      </c>
      <c r="C697" t="s">
        <v>1382</v>
      </c>
      <c r="D697" t="s">
        <v>106</v>
      </c>
    </row>
    <row r="698" spans="1:4" x14ac:dyDescent="0.25">
      <c r="A698" t="s">
        <v>1383</v>
      </c>
      <c r="B698" t="s">
        <v>33</v>
      </c>
      <c r="C698" t="s">
        <v>1384</v>
      </c>
      <c r="D698" t="s">
        <v>106</v>
      </c>
    </row>
    <row r="699" spans="1:4" x14ac:dyDescent="0.25">
      <c r="A699" t="s">
        <v>1385</v>
      </c>
      <c r="B699" t="s">
        <v>33</v>
      </c>
      <c r="C699" t="s">
        <v>1386</v>
      </c>
      <c r="D699" t="s">
        <v>106</v>
      </c>
    </row>
    <row r="700" spans="1:4" x14ac:dyDescent="0.25">
      <c r="A700" t="s">
        <v>1387</v>
      </c>
      <c r="B700" t="s">
        <v>33</v>
      </c>
      <c r="C700" t="s">
        <v>1388</v>
      </c>
      <c r="D700" t="s">
        <v>106</v>
      </c>
    </row>
    <row r="701" spans="1:4" x14ac:dyDescent="0.25">
      <c r="A701" t="s">
        <v>1389</v>
      </c>
      <c r="B701" t="s">
        <v>33</v>
      </c>
      <c r="C701" t="s">
        <v>1390</v>
      </c>
      <c r="D701" t="s">
        <v>106</v>
      </c>
    </row>
    <row r="702" spans="1:4" x14ac:dyDescent="0.25">
      <c r="A702" t="s">
        <v>1391</v>
      </c>
      <c r="B702" t="s">
        <v>33</v>
      </c>
      <c r="C702" t="s">
        <v>1392</v>
      </c>
      <c r="D702" t="s">
        <v>106</v>
      </c>
    </row>
    <row r="703" spans="1:4" x14ac:dyDescent="0.25">
      <c r="A703" t="s">
        <v>1393</v>
      </c>
      <c r="B703" t="s">
        <v>33</v>
      </c>
      <c r="C703" t="s">
        <v>1394</v>
      </c>
      <c r="D703" t="s">
        <v>106</v>
      </c>
    </row>
    <row r="704" spans="1:4" x14ac:dyDescent="0.25">
      <c r="A704" t="s">
        <v>1395</v>
      </c>
      <c r="B704" t="s">
        <v>33</v>
      </c>
      <c r="C704" t="s">
        <v>1396</v>
      </c>
      <c r="D704" t="s">
        <v>106</v>
      </c>
    </row>
    <row r="705" spans="1:4" x14ac:dyDescent="0.25">
      <c r="A705" t="s">
        <v>1397</v>
      </c>
      <c r="B705" t="s">
        <v>33</v>
      </c>
      <c r="C705" t="s">
        <v>1398</v>
      </c>
      <c r="D705" t="s">
        <v>106</v>
      </c>
    </row>
    <row r="706" spans="1:4" x14ac:dyDescent="0.25">
      <c r="A706" t="s">
        <v>1399</v>
      </c>
      <c r="B706" t="s">
        <v>33</v>
      </c>
      <c r="C706" t="s">
        <v>1400</v>
      </c>
      <c r="D706" t="s">
        <v>106</v>
      </c>
    </row>
    <row r="707" spans="1:4" x14ac:dyDescent="0.25">
      <c r="A707" t="s">
        <v>1401</v>
      </c>
      <c r="B707" t="s">
        <v>33</v>
      </c>
      <c r="C707" t="s">
        <v>1402</v>
      </c>
      <c r="D707" t="s">
        <v>106</v>
      </c>
    </row>
    <row r="708" spans="1:4" x14ac:dyDescent="0.25">
      <c r="A708" t="s">
        <v>1403</v>
      </c>
      <c r="B708" t="s">
        <v>33</v>
      </c>
      <c r="C708" t="s">
        <v>1404</v>
      </c>
      <c r="D708" t="s">
        <v>106</v>
      </c>
    </row>
    <row r="709" spans="1:4" x14ac:dyDescent="0.25">
      <c r="A709" t="s">
        <v>1405</v>
      </c>
      <c r="B709" t="s">
        <v>33</v>
      </c>
      <c r="C709" t="s">
        <v>1406</v>
      </c>
      <c r="D709" t="s">
        <v>106</v>
      </c>
    </row>
    <row r="710" spans="1:4" x14ac:dyDescent="0.25">
      <c r="A710" t="s">
        <v>1407</v>
      </c>
      <c r="B710" t="s">
        <v>33</v>
      </c>
      <c r="C710" t="s">
        <v>1408</v>
      </c>
      <c r="D710" t="s">
        <v>106</v>
      </c>
    </row>
    <row r="711" spans="1:4" x14ac:dyDescent="0.25">
      <c r="A711" t="s">
        <v>1409</v>
      </c>
      <c r="B711" t="s">
        <v>33</v>
      </c>
      <c r="C711" t="s">
        <v>1410</v>
      </c>
      <c r="D711" t="s">
        <v>106</v>
      </c>
    </row>
    <row r="712" spans="1:4" x14ac:dyDescent="0.25">
      <c r="A712" t="s">
        <v>1411</v>
      </c>
      <c r="B712" t="s">
        <v>33</v>
      </c>
      <c r="C712" t="s">
        <v>1412</v>
      </c>
      <c r="D712" t="s">
        <v>106</v>
      </c>
    </row>
    <row r="713" spans="1:4" x14ac:dyDescent="0.25">
      <c r="A713" t="s">
        <v>1413</v>
      </c>
      <c r="B713" t="s">
        <v>33</v>
      </c>
      <c r="C713" t="s">
        <v>1414</v>
      </c>
      <c r="D713" t="s">
        <v>106</v>
      </c>
    </row>
    <row r="714" spans="1:4" x14ac:dyDescent="0.25">
      <c r="A714" t="s">
        <v>1415</v>
      </c>
      <c r="B714" t="s">
        <v>33</v>
      </c>
      <c r="C714" t="s">
        <v>1416</v>
      </c>
      <c r="D714" t="s">
        <v>106</v>
      </c>
    </row>
    <row r="715" spans="1:4" x14ac:dyDescent="0.25">
      <c r="A715" t="s">
        <v>1417</v>
      </c>
      <c r="B715" t="s">
        <v>33</v>
      </c>
      <c r="C715" t="s">
        <v>1418</v>
      </c>
      <c r="D715" t="s">
        <v>106</v>
      </c>
    </row>
    <row r="716" spans="1:4" x14ac:dyDescent="0.25">
      <c r="A716" t="s">
        <v>1419</v>
      </c>
      <c r="B716" t="s">
        <v>33</v>
      </c>
      <c r="C716" t="s">
        <v>1420</v>
      </c>
      <c r="D716" t="s">
        <v>106</v>
      </c>
    </row>
    <row r="717" spans="1:4" x14ac:dyDescent="0.25">
      <c r="A717" t="s">
        <v>1421</v>
      </c>
      <c r="B717" t="s">
        <v>33</v>
      </c>
      <c r="C717" t="s">
        <v>1422</v>
      </c>
      <c r="D717" t="s">
        <v>106</v>
      </c>
    </row>
    <row r="718" spans="1:4" x14ac:dyDescent="0.25">
      <c r="A718" t="s">
        <v>1423</v>
      </c>
      <c r="B718" t="s">
        <v>33</v>
      </c>
      <c r="C718" t="s">
        <v>1424</v>
      </c>
      <c r="D718" t="s">
        <v>106</v>
      </c>
    </row>
    <row r="719" spans="1:4" x14ac:dyDescent="0.25">
      <c r="A719" t="s">
        <v>1425</v>
      </c>
      <c r="B719" t="s">
        <v>33</v>
      </c>
      <c r="C719" t="s">
        <v>1426</v>
      </c>
      <c r="D719" t="s">
        <v>106</v>
      </c>
    </row>
    <row r="720" spans="1:4" x14ac:dyDescent="0.25">
      <c r="A720" t="s">
        <v>1427</v>
      </c>
      <c r="B720" t="s">
        <v>33</v>
      </c>
      <c r="C720" t="s">
        <v>1428</v>
      </c>
      <c r="D720" t="s">
        <v>106</v>
      </c>
    </row>
    <row r="721" spans="1:4" x14ac:dyDescent="0.25">
      <c r="A721" t="s">
        <v>1429</v>
      </c>
      <c r="B721" t="s">
        <v>33</v>
      </c>
      <c r="C721" t="s">
        <v>1430</v>
      </c>
      <c r="D721" t="s">
        <v>106</v>
      </c>
    </row>
    <row r="722" spans="1:4" x14ac:dyDescent="0.25">
      <c r="A722" t="s">
        <v>1431</v>
      </c>
      <c r="B722" t="s">
        <v>33</v>
      </c>
      <c r="C722" t="s">
        <v>1432</v>
      </c>
      <c r="D722" t="s">
        <v>106</v>
      </c>
    </row>
    <row r="723" spans="1:4" x14ac:dyDescent="0.25">
      <c r="A723" t="s">
        <v>1433</v>
      </c>
      <c r="B723" t="s">
        <v>33</v>
      </c>
      <c r="C723" t="s">
        <v>1434</v>
      </c>
      <c r="D723" t="s">
        <v>106</v>
      </c>
    </row>
    <row r="724" spans="1:4" x14ac:dyDescent="0.25">
      <c r="A724" t="s">
        <v>1435</v>
      </c>
      <c r="B724" t="s">
        <v>33</v>
      </c>
      <c r="C724" t="s">
        <v>1436</v>
      </c>
      <c r="D724" t="s">
        <v>106</v>
      </c>
    </row>
    <row r="725" spans="1:4" x14ac:dyDescent="0.25">
      <c r="A725" t="s">
        <v>1437</v>
      </c>
      <c r="B725" t="s">
        <v>33</v>
      </c>
      <c r="C725" t="s">
        <v>1438</v>
      </c>
      <c r="D725" t="s">
        <v>329</v>
      </c>
    </row>
    <row r="726" spans="1:4" x14ac:dyDescent="0.25">
      <c r="A726" t="s">
        <v>1439</v>
      </c>
      <c r="B726" t="s">
        <v>33</v>
      </c>
      <c r="C726" t="s">
        <v>1440</v>
      </c>
      <c r="D726" t="s">
        <v>7</v>
      </c>
    </row>
    <row r="727" spans="1:4" x14ac:dyDescent="0.25">
      <c r="A727" t="s">
        <v>1441</v>
      </c>
      <c r="B727" t="s">
        <v>33</v>
      </c>
      <c r="C727" t="s">
        <v>1442</v>
      </c>
      <c r="D727" t="s">
        <v>7</v>
      </c>
    </row>
    <row r="728" spans="1:4" x14ac:dyDescent="0.25">
      <c r="A728" t="s">
        <v>1443</v>
      </c>
      <c r="B728" t="s">
        <v>33</v>
      </c>
      <c r="C728" t="s">
        <v>1444</v>
      </c>
      <c r="D728" t="s">
        <v>106</v>
      </c>
    </row>
    <row r="729" spans="1:4" x14ac:dyDescent="0.25">
      <c r="A729" t="s">
        <v>1445</v>
      </c>
      <c r="B729" t="s">
        <v>33</v>
      </c>
      <c r="C729" t="s">
        <v>1446</v>
      </c>
      <c r="D729" t="s">
        <v>106</v>
      </c>
    </row>
    <row r="730" spans="1:4" x14ac:dyDescent="0.25">
      <c r="A730" t="s">
        <v>1447</v>
      </c>
      <c r="B730" t="s">
        <v>33</v>
      </c>
      <c r="C730" t="s">
        <v>1448</v>
      </c>
      <c r="D730" t="s">
        <v>106</v>
      </c>
    </row>
    <row r="731" spans="1:4" x14ac:dyDescent="0.25">
      <c r="A731" t="s">
        <v>1449</v>
      </c>
      <c r="B731" t="s">
        <v>33</v>
      </c>
      <c r="C731" t="s">
        <v>1450</v>
      </c>
      <c r="D731" t="s">
        <v>106</v>
      </c>
    </row>
    <row r="732" spans="1:4" x14ac:dyDescent="0.25">
      <c r="A732" t="s">
        <v>1451</v>
      </c>
      <c r="B732" t="s">
        <v>33</v>
      </c>
      <c r="C732" t="s">
        <v>1452</v>
      </c>
      <c r="D732" t="s">
        <v>106</v>
      </c>
    </row>
    <row r="733" spans="1:4" x14ac:dyDescent="0.25">
      <c r="A733" t="s">
        <v>1453</v>
      </c>
      <c r="B733" t="s">
        <v>1454</v>
      </c>
      <c r="C733" t="s">
        <v>1455</v>
      </c>
      <c r="D733" t="s">
        <v>106</v>
      </c>
    </row>
    <row r="734" spans="1:4" x14ac:dyDescent="0.25">
      <c r="A734" t="s">
        <v>1456</v>
      </c>
      <c r="B734" t="s">
        <v>33</v>
      </c>
      <c r="C734" t="s">
        <v>1457</v>
      </c>
      <c r="D734" t="s">
        <v>106</v>
      </c>
    </row>
    <row r="735" spans="1:4" x14ac:dyDescent="0.25">
      <c r="A735" t="s">
        <v>1458</v>
      </c>
      <c r="B735" t="s">
        <v>33</v>
      </c>
      <c r="C735" t="s">
        <v>1459</v>
      </c>
      <c r="D735" t="s">
        <v>106</v>
      </c>
    </row>
    <row r="736" spans="1:4" x14ac:dyDescent="0.25">
      <c r="A736" t="s">
        <v>1460</v>
      </c>
      <c r="B736" t="s">
        <v>33</v>
      </c>
      <c r="C736" t="s">
        <v>1461</v>
      </c>
      <c r="D736" t="s">
        <v>106</v>
      </c>
    </row>
    <row r="737" spans="1:4" x14ac:dyDescent="0.25">
      <c r="A737" t="s">
        <v>1462</v>
      </c>
      <c r="B737" t="s">
        <v>33</v>
      </c>
      <c r="C737" t="s">
        <v>1463</v>
      </c>
      <c r="D737" t="s">
        <v>106</v>
      </c>
    </row>
    <row r="738" spans="1:4" x14ac:dyDescent="0.25">
      <c r="A738" t="s">
        <v>1464</v>
      </c>
      <c r="B738" t="s">
        <v>33</v>
      </c>
      <c r="C738" t="s">
        <v>1465</v>
      </c>
      <c r="D738" t="s">
        <v>106</v>
      </c>
    </row>
    <row r="739" spans="1:4" x14ac:dyDescent="0.25">
      <c r="A739" t="s">
        <v>1466</v>
      </c>
      <c r="B739" t="s">
        <v>33</v>
      </c>
      <c r="C739" t="s">
        <v>1467</v>
      </c>
      <c r="D739" t="s">
        <v>106</v>
      </c>
    </row>
    <row r="740" spans="1:4" x14ac:dyDescent="0.25">
      <c r="A740" t="s">
        <v>1468</v>
      </c>
      <c r="B740" t="s">
        <v>33</v>
      </c>
      <c r="C740" t="s">
        <v>1469</v>
      </c>
      <c r="D740" t="s">
        <v>106</v>
      </c>
    </row>
    <row r="741" spans="1:4" x14ac:dyDescent="0.25">
      <c r="A741" t="s">
        <v>1470</v>
      </c>
      <c r="B741" t="s">
        <v>33</v>
      </c>
      <c r="C741" t="s">
        <v>1471</v>
      </c>
      <c r="D741" t="s">
        <v>50</v>
      </c>
    </row>
    <row r="742" spans="1:4" x14ac:dyDescent="0.25">
      <c r="A742" t="s">
        <v>1472</v>
      </c>
      <c r="B742" t="s">
        <v>33</v>
      </c>
      <c r="C742" t="s">
        <v>1473</v>
      </c>
      <c r="D742" t="s">
        <v>106</v>
      </c>
    </row>
    <row r="743" spans="1:4" x14ac:dyDescent="0.25">
      <c r="A743" t="s">
        <v>1474</v>
      </c>
      <c r="B743" t="s">
        <v>33</v>
      </c>
      <c r="C743" t="s">
        <v>1475</v>
      </c>
      <c r="D743" t="s">
        <v>106</v>
      </c>
    </row>
    <row r="744" spans="1:4" x14ac:dyDescent="0.25">
      <c r="A744" t="s">
        <v>1476</v>
      </c>
      <c r="B744" t="s">
        <v>33</v>
      </c>
      <c r="C744" t="s">
        <v>1477</v>
      </c>
      <c r="D744" t="s">
        <v>106</v>
      </c>
    </row>
    <row r="745" spans="1:4" x14ac:dyDescent="0.25">
      <c r="A745" t="s">
        <v>1478</v>
      </c>
      <c r="B745" t="s">
        <v>33</v>
      </c>
      <c r="C745" t="s">
        <v>1479</v>
      </c>
      <c r="D745" t="s">
        <v>106</v>
      </c>
    </row>
    <row r="746" spans="1:4" x14ac:dyDescent="0.25">
      <c r="A746" t="s">
        <v>1480</v>
      </c>
      <c r="B746" t="s">
        <v>33</v>
      </c>
      <c r="C746" t="s">
        <v>1463</v>
      </c>
      <c r="D746" t="s">
        <v>106</v>
      </c>
    </row>
    <row r="747" spans="1:4" x14ac:dyDescent="0.25">
      <c r="A747" t="s">
        <v>1481</v>
      </c>
      <c r="B747" t="s">
        <v>33</v>
      </c>
      <c r="C747" t="s">
        <v>1482</v>
      </c>
      <c r="D747" t="s">
        <v>106</v>
      </c>
    </row>
    <row r="748" spans="1:4" x14ac:dyDescent="0.25">
      <c r="A748" t="s">
        <v>1483</v>
      </c>
      <c r="B748" t="s">
        <v>33</v>
      </c>
      <c r="C748" t="s">
        <v>1484</v>
      </c>
      <c r="D748" t="s">
        <v>106</v>
      </c>
    </row>
    <row r="749" spans="1:4" x14ac:dyDescent="0.25">
      <c r="A749" t="s">
        <v>1485</v>
      </c>
      <c r="B749" t="s">
        <v>33</v>
      </c>
      <c r="C749" t="s">
        <v>1486</v>
      </c>
      <c r="D749" t="s">
        <v>106</v>
      </c>
    </row>
    <row r="750" spans="1:4" x14ac:dyDescent="0.25">
      <c r="A750" t="s">
        <v>1487</v>
      </c>
      <c r="B750" t="s">
        <v>33</v>
      </c>
      <c r="C750" t="s">
        <v>1488</v>
      </c>
      <c r="D750" t="s">
        <v>106</v>
      </c>
    </row>
    <row r="751" spans="1:4" x14ac:dyDescent="0.25">
      <c r="A751" t="s">
        <v>1489</v>
      </c>
      <c r="B751" t="s">
        <v>33</v>
      </c>
      <c r="C751" t="s">
        <v>1490</v>
      </c>
      <c r="D751" t="s">
        <v>106</v>
      </c>
    </row>
    <row r="752" spans="1:4" x14ac:dyDescent="0.25">
      <c r="A752" t="s">
        <v>1491</v>
      </c>
      <c r="B752" t="s">
        <v>33</v>
      </c>
      <c r="C752" t="s">
        <v>1492</v>
      </c>
      <c r="D752" t="s">
        <v>106</v>
      </c>
    </row>
    <row r="753" spans="1:4" x14ac:dyDescent="0.25">
      <c r="A753" t="s">
        <v>1493</v>
      </c>
      <c r="B753" t="s">
        <v>33</v>
      </c>
      <c r="C753" t="s">
        <v>1494</v>
      </c>
      <c r="D753" t="s">
        <v>106</v>
      </c>
    </row>
    <row r="754" spans="1:4" x14ac:dyDescent="0.25">
      <c r="A754" t="s">
        <v>1495</v>
      </c>
      <c r="B754" t="s">
        <v>33</v>
      </c>
      <c r="C754" t="s">
        <v>1496</v>
      </c>
      <c r="D754" t="s">
        <v>106</v>
      </c>
    </row>
    <row r="755" spans="1:4" x14ac:dyDescent="0.25">
      <c r="A755" t="s">
        <v>1497</v>
      </c>
      <c r="B755" t="s">
        <v>33</v>
      </c>
      <c r="C755" t="s">
        <v>1494</v>
      </c>
      <c r="D755" t="s">
        <v>106</v>
      </c>
    </row>
    <row r="756" spans="1:4" x14ac:dyDescent="0.25">
      <c r="A756" t="s">
        <v>1498</v>
      </c>
      <c r="B756" t="s">
        <v>33</v>
      </c>
      <c r="C756" t="s">
        <v>1499</v>
      </c>
      <c r="D756" t="s">
        <v>106</v>
      </c>
    </row>
    <row r="757" spans="1:4" x14ac:dyDescent="0.25">
      <c r="A757" t="s">
        <v>1500</v>
      </c>
      <c r="B757" t="s">
        <v>33</v>
      </c>
      <c r="C757" t="s">
        <v>529</v>
      </c>
      <c r="D757" t="s">
        <v>106</v>
      </c>
    </row>
    <row r="758" spans="1:4" x14ac:dyDescent="0.25">
      <c r="A758" t="s">
        <v>1501</v>
      </c>
      <c r="B758" t="s">
        <v>33</v>
      </c>
      <c r="C758" t="s">
        <v>1502</v>
      </c>
      <c r="D758" t="s">
        <v>106</v>
      </c>
    </row>
    <row r="759" spans="1:4" x14ac:dyDescent="0.25">
      <c r="A759" t="s">
        <v>1503</v>
      </c>
      <c r="B759" t="s">
        <v>33</v>
      </c>
      <c r="C759" t="s">
        <v>1504</v>
      </c>
      <c r="D759" t="s">
        <v>106</v>
      </c>
    </row>
    <row r="760" spans="1:4" x14ac:dyDescent="0.25">
      <c r="A760" t="s">
        <v>1505</v>
      </c>
      <c r="B760" t="s">
        <v>33</v>
      </c>
      <c r="C760" t="s">
        <v>1506</v>
      </c>
      <c r="D760" t="s">
        <v>106</v>
      </c>
    </row>
    <row r="761" spans="1:4" x14ac:dyDescent="0.25">
      <c r="A761" t="s">
        <v>1507</v>
      </c>
      <c r="B761" t="s">
        <v>33</v>
      </c>
      <c r="C761" t="s">
        <v>1508</v>
      </c>
      <c r="D761" t="s">
        <v>50</v>
      </c>
    </row>
    <row r="762" spans="1:4" x14ac:dyDescent="0.25">
      <c r="A762" t="s">
        <v>1509</v>
      </c>
      <c r="B762" t="s">
        <v>33</v>
      </c>
      <c r="C762" t="s">
        <v>1510</v>
      </c>
      <c r="D762" t="s">
        <v>106</v>
      </c>
    </row>
    <row r="763" spans="1:4" x14ac:dyDescent="0.25">
      <c r="A763" t="s">
        <v>1511</v>
      </c>
      <c r="B763" t="s">
        <v>33</v>
      </c>
      <c r="C763" t="s">
        <v>1512</v>
      </c>
      <c r="D763" t="s">
        <v>106</v>
      </c>
    </row>
    <row r="764" spans="1:4" x14ac:dyDescent="0.25">
      <c r="A764" t="s">
        <v>1513</v>
      </c>
      <c r="B764" t="s">
        <v>33</v>
      </c>
      <c r="C764" t="s">
        <v>1514</v>
      </c>
      <c r="D764" t="s">
        <v>106</v>
      </c>
    </row>
    <row r="765" spans="1:4" x14ac:dyDescent="0.25">
      <c r="A765" t="s">
        <v>1515</v>
      </c>
      <c r="B765" t="s">
        <v>33</v>
      </c>
      <c r="C765" t="s">
        <v>1516</v>
      </c>
      <c r="D765" t="s">
        <v>50</v>
      </c>
    </row>
    <row r="766" spans="1:4" x14ac:dyDescent="0.25">
      <c r="A766" t="s">
        <v>1517</v>
      </c>
      <c r="B766" t="s">
        <v>33</v>
      </c>
      <c r="C766" t="s">
        <v>1518</v>
      </c>
      <c r="D766" t="s">
        <v>50</v>
      </c>
    </row>
    <row r="767" spans="1:4" x14ac:dyDescent="0.25">
      <c r="A767" t="s">
        <v>1519</v>
      </c>
      <c r="B767" t="s">
        <v>33</v>
      </c>
      <c r="C767" t="s">
        <v>1520</v>
      </c>
      <c r="D767" t="s">
        <v>106</v>
      </c>
    </row>
    <row r="768" spans="1:4" x14ac:dyDescent="0.25">
      <c r="A768" t="s">
        <v>1521</v>
      </c>
      <c r="B768" t="s">
        <v>33</v>
      </c>
      <c r="C768" t="s">
        <v>1522</v>
      </c>
      <c r="D768" t="s">
        <v>106</v>
      </c>
    </row>
    <row r="769" spans="1:4" x14ac:dyDescent="0.25">
      <c r="A769" t="s">
        <v>1523</v>
      </c>
      <c r="B769" t="s">
        <v>33</v>
      </c>
      <c r="C769" t="s">
        <v>1524</v>
      </c>
      <c r="D769" t="s">
        <v>106</v>
      </c>
    </row>
    <row r="770" spans="1:4" x14ac:dyDescent="0.25">
      <c r="A770" t="s">
        <v>1525</v>
      </c>
      <c r="B770" t="s">
        <v>33</v>
      </c>
      <c r="C770" t="s">
        <v>1526</v>
      </c>
      <c r="D770" t="s">
        <v>106</v>
      </c>
    </row>
    <row r="771" spans="1:4" x14ac:dyDescent="0.25">
      <c r="A771" t="s">
        <v>1527</v>
      </c>
      <c r="B771" t="s">
        <v>33</v>
      </c>
      <c r="C771" t="s">
        <v>1528</v>
      </c>
      <c r="D771" t="s">
        <v>106</v>
      </c>
    </row>
    <row r="772" spans="1:4" x14ac:dyDescent="0.25">
      <c r="A772" t="s">
        <v>1529</v>
      </c>
      <c r="B772" t="s">
        <v>33</v>
      </c>
      <c r="C772" t="s">
        <v>1530</v>
      </c>
      <c r="D772" t="s">
        <v>106</v>
      </c>
    </row>
    <row r="773" spans="1:4" x14ac:dyDescent="0.25">
      <c r="A773" t="s">
        <v>1531</v>
      </c>
      <c r="B773" t="s">
        <v>33</v>
      </c>
      <c r="C773" t="s">
        <v>1532</v>
      </c>
      <c r="D773" t="s">
        <v>106</v>
      </c>
    </row>
    <row r="774" spans="1:4" x14ac:dyDescent="0.25">
      <c r="A774" t="s">
        <v>1533</v>
      </c>
      <c r="B774" t="s">
        <v>33</v>
      </c>
      <c r="C774" t="s">
        <v>1534</v>
      </c>
      <c r="D774" t="s">
        <v>106</v>
      </c>
    </row>
    <row r="775" spans="1:4" x14ac:dyDescent="0.25">
      <c r="A775" t="s">
        <v>1535</v>
      </c>
      <c r="B775" t="s">
        <v>33</v>
      </c>
      <c r="C775" t="s">
        <v>1536</v>
      </c>
      <c r="D775" t="s">
        <v>106</v>
      </c>
    </row>
    <row r="776" spans="1:4" x14ac:dyDescent="0.25">
      <c r="A776" t="s">
        <v>1537</v>
      </c>
      <c r="B776" t="s">
        <v>33</v>
      </c>
      <c r="C776" t="s">
        <v>1538</v>
      </c>
      <c r="D776" t="s">
        <v>106</v>
      </c>
    </row>
    <row r="777" spans="1:4" x14ac:dyDescent="0.25">
      <c r="A777" t="s">
        <v>1539</v>
      </c>
      <c r="B777" t="s">
        <v>33</v>
      </c>
      <c r="C777" t="s">
        <v>1540</v>
      </c>
      <c r="D777" t="s">
        <v>106</v>
      </c>
    </row>
    <row r="778" spans="1:4" x14ac:dyDescent="0.25">
      <c r="A778" t="s">
        <v>1541</v>
      </c>
      <c r="B778" t="s">
        <v>33</v>
      </c>
      <c r="C778" t="s">
        <v>1542</v>
      </c>
      <c r="D778" t="s">
        <v>1543</v>
      </c>
    </row>
    <row r="779" spans="1:4" x14ac:dyDescent="0.25">
      <c r="A779" t="s">
        <v>1544</v>
      </c>
      <c r="B779" t="s">
        <v>33</v>
      </c>
      <c r="C779" t="s">
        <v>1366</v>
      </c>
      <c r="D779" t="s">
        <v>50</v>
      </c>
    </row>
    <row r="780" spans="1:4" x14ac:dyDescent="0.25">
      <c r="A780" t="s">
        <v>1545</v>
      </c>
      <c r="B780" t="s">
        <v>33</v>
      </c>
      <c r="C780" t="s">
        <v>1546</v>
      </c>
      <c r="D780" t="s">
        <v>50</v>
      </c>
    </row>
    <row r="781" spans="1:4" x14ac:dyDescent="0.25">
      <c r="A781" t="s">
        <v>1547</v>
      </c>
      <c r="B781" t="s">
        <v>33</v>
      </c>
      <c r="C781" t="s">
        <v>1548</v>
      </c>
      <c r="D781" t="s">
        <v>50</v>
      </c>
    </row>
    <row r="782" spans="1:4" x14ac:dyDescent="0.25">
      <c r="A782" t="s">
        <v>1549</v>
      </c>
      <c r="B782" t="s">
        <v>33</v>
      </c>
      <c r="C782" t="s">
        <v>1041</v>
      </c>
      <c r="D782" t="s">
        <v>50</v>
      </c>
    </row>
    <row r="783" spans="1:4" x14ac:dyDescent="0.25">
      <c r="A783" t="s">
        <v>1550</v>
      </c>
      <c r="B783" t="s">
        <v>33</v>
      </c>
      <c r="C783" t="s">
        <v>1551</v>
      </c>
      <c r="D783" t="s">
        <v>106</v>
      </c>
    </row>
    <row r="784" spans="1:4" x14ac:dyDescent="0.25">
      <c r="A784" t="s">
        <v>1552</v>
      </c>
      <c r="B784" t="s">
        <v>33</v>
      </c>
      <c r="C784" t="s">
        <v>1553</v>
      </c>
      <c r="D784" t="s">
        <v>50</v>
      </c>
    </row>
    <row r="785" spans="1:4" x14ac:dyDescent="0.25">
      <c r="A785" t="s">
        <v>1554</v>
      </c>
      <c r="B785" t="s">
        <v>33</v>
      </c>
      <c r="C785" t="s">
        <v>1555</v>
      </c>
      <c r="D785" t="s">
        <v>50</v>
      </c>
    </row>
    <row r="786" spans="1:4" x14ac:dyDescent="0.25">
      <c r="A786" t="s">
        <v>1556</v>
      </c>
      <c r="B786" t="s">
        <v>33</v>
      </c>
      <c r="C786" t="s">
        <v>1557</v>
      </c>
      <c r="D786" t="s">
        <v>106</v>
      </c>
    </row>
    <row r="787" spans="1:4" x14ac:dyDescent="0.25">
      <c r="A787" t="s">
        <v>1558</v>
      </c>
      <c r="B787" t="s">
        <v>33</v>
      </c>
      <c r="C787" t="s">
        <v>1559</v>
      </c>
      <c r="D787" t="s">
        <v>106</v>
      </c>
    </row>
    <row r="788" spans="1:4" x14ac:dyDescent="0.25">
      <c r="A788" t="s">
        <v>1560</v>
      </c>
      <c r="B788" t="s">
        <v>33</v>
      </c>
      <c r="C788" t="s">
        <v>1561</v>
      </c>
      <c r="D788" t="s">
        <v>106</v>
      </c>
    </row>
    <row r="789" spans="1:4" x14ac:dyDescent="0.25">
      <c r="A789" t="s">
        <v>1562</v>
      </c>
      <c r="B789" t="s">
        <v>33</v>
      </c>
      <c r="C789" t="s">
        <v>1563</v>
      </c>
      <c r="D789" t="s">
        <v>50</v>
      </c>
    </row>
    <row r="790" spans="1:4" x14ac:dyDescent="0.25">
      <c r="A790" t="s">
        <v>1564</v>
      </c>
      <c r="B790" t="s">
        <v>33</v>
      </c>
      <c r="C790" t="s">
        <v>1565</v>
      </c>
      <c r="D790" t="s">
        <v>50</v>
      </c>
    </row>
    <row r="791" spans="1:4" x14ac:dyDescent="0.25">
      <c r="A791" t="s">
        <v>1566</v>
      </c>
      <c r="B791" t="s">
        <v>33</v>
      </c>
      <c r="C791" t="s">
        <v>1028</v>
      </c>
      <c r="D791" t="s">
        <v>50</v>
      </c>
    </row>
    <row r="792" spans="1:4" x14ac:dyDescent="0.25">
      <c r="A792" t="s">
        <v>1567</v>
      </c>
      <c r="B792" t="s">
        <v>33</v>
      </c>
      <c r="C792" t="s">
        <v>1043</v>
      </c>
      <c r="D792" t="s">
        <v>50</v>
      </c>
    </row>
    <row r="793" spans="1:4" x14ac:dyDescent="0.25">
      <c r="A793" t="s">
        <v>1568</v>
      </c>
      <c r="B793" t="s">
        <v>33</v>
      </c>
      <c r="C793" t="s">
        <v>1569</v>
      </c>
      <c r="D793" t="s">
        <v>50</v>
      </c>
    </row>
    <row r="794" spans="1:4" x14ac:dyDescent="0.25">
      <c r="A794" t="s">
        <v>1570</v>
      </c>
      <c r="B794" t="s">
        <v>33</v>
      </c>
      <c r="C794" t="s">
        <v>1571</v>
      </c>
      <c r="D794" t="s">
        <v>50</v>
      </c>
    </row>
    <row r="795" spans="1:4" x14ac:dyDescent="0.25">
      <c r="A795" t="s">
        <v>1572</v>
      </c>
      <c r="B795" t="s">
        <v>33</v>
      </c>
      <c r="C795" t="s">
        <v>1026</v>
      </c>
      <c r="D795" t="s">
        <v>50</v>
      </c>
    </row>
    <row r="796" spans="1:4" x14ac:dyDescent="0.25">
      <c r="A796" t="s">
        <v>1573</v>
      </c>
      <c r="B796" t="s">
        <v>33</v>
      </c>
      <c r="C796" t="s">
        <v>1155</v>
      </c>
      <c r="D796" t="s">
        <v>50</v>
      </c>
    </row>
    <row r="797" spans="1:4" x14ac:dyDescent="0.25">
      <c r="A797" t="s">
        <v>1574</v>
      </c>
      <c r="B797" t="s">
        <v>33</v>
      </c>
      <c r="C797" t="s">
        <v>1157</v>
      </c>
      <c r="D797" t="s">
        <v>50</v>
      </c>
    </row>
    <row r="798" spans="1:4" x14ac:dyDescent="0.25">
      <c r="A798" t="s">
        <v>1575</v>
      </c>
      <c r="B798" t="s">
        <v>33</v>
      </c>
      <c r="C798" t="s">
        <v>1159</v>
      </c>
      <c r="D798" t="s">
        <v>50</v>
      </c>
    </row>
    <row r="799" spans="1:4" x14ac:dyDescent="0.25">
      <c r="A799" t="s">
        <v>1576</v>
      </c>
      <c r="B799" t="s">
        <v>33</v>
      </c>
      <c r="C799" t="s">
        <v>1022</v>
      </c>
      <c r="D799" t="s">
        <v>50</v>
      </c>
    </row>
    <row r="800" spans="1:4" x14ac:dyDescent="0.25">
      <c r="A800" t="s">
        <v>1577</v>
      </c>
      <c r="B800" t="s">
        <v>33</v>
      </c>
      <c r="C800" t="s">
        <v>1031</v>
      </c>
      <c r="D800" t="s">
        <v>50</v>
      </c>
    </row>
    <row r="801" spans="1:4" x14ac:dyDescent="0.25">
      <c r="A801" t="s">
        <v>1578</v>
      </c>
      <c r="B801" t="s">
        <v>33</v>
      </c>
      <c r="C801" t="s">
        <v>1579</v>
      </c>
      <c r="D801" t="s">
        <v>50</v>
      </c>
    </row>
    <row r="802" spans="1:4" x14ac:dyDescent="0.25">
      <c r="A802" t="s">
        <v>1580</v>
      </c>
      <c r="B802" t="s">
        <v>33</v>
      </c>
      <c r="C802" t="s">
        <v>1581</v>
      </c>
      <c r="D802" t="s">
        <v>106</v>
      </c>
    </row>
    <row r="803" spans="1:4" x14ac:dyDescent="0.25">
      <c r="A803" t="s">
        <v>1582</v>
      </c>
      <c r="B803" t="s">
        <v>33</v>
      </c>
      <c r="C803" t="s">
        <v>1583</v>
      </c>
      <c r="D803" t="s">
        <v>50</v>
      </c>
    </row>
    <row r="804" spans="1:4" x14ac:dyDescent="0.25">
      <c r="A804" t="s">
        <v>1584</v>
      </c>
      <c r="B804" t="s">
        <v>33</v>
      </c>
      <c r="C804" t="s">
        <v>1585</v>
      </c>
      <c r="D804" t="s">
        <v>50</v>
      </c>
    </row>
    <row r="805" spans="1:4" x14ac:dyDescent="0.25">
      <c r="A805" t="s">
        <v>1586</v>
      </c>
      <c r="B805" t="s">
        <v>33</v>
      </c>
      <c r="C805" t="s">
        <v>1587</v>
      </c>
      <c r="D805" t="s">
        <v>106</v>
      </c>
    </row>
    <row r="806" spans="1:4" x14ac:dyDescent="0.25">
      <c r="A806" t="s">
        <v>1588</v>
      </c>
      <c r="B806" t="s">
        <v>33</v>
      </c>
      <c r="C806" t="s">
        <v>1589</v>
      </c>
      <c r="D806" t="s">
        <v>106</v>
      </c>
    </row>
    <row r="807" spans="1:4" x14ac:dyDescent="0.25">
      <c r="A807" t="s">
        <v>1590</v>
      </c>
      <c r="B807" t="s">
        <v>33</v>
      </c>
      <c r="C807" t="s">
        <v>1591</v>
      </c>
      <c r="D807" t="s">
        <v>106</v>
      </c>
    </row>
    <row r="808" spans="1:4" x14ac:dyDescent="0.25">
      <c r="A808" t="s">
        <v>1592</v>
      </c>
      <c r="B808" t="s">
        <v>33</v>
      </c>
      <c r="C808" t="s">
        <v>1593</v>
      </c>
      <c r="D808" t="s">
        <v>106</v>
      </c>
    </row>
    <row r="809" spans="1:4" x14ac:dyDescent="0.25">
      <c r="A809" t="s">
        <v>1594</v>
      </c>
      <c r="B809" t="s">
        <v>33</v>
      </c>
      <c r="C809" t="s">
        <v>1595</v>
      </c>
      <c r="D809" t="s">
        <v>106</v>
      </c>
    </row>
    <row r="810" spans="1:4" x14ac:dyDescent="0.25">
      <c r="A810" t="s">
        <v>1596</v>
      </c>
      <c r="B810" t="s">
        <v>33</v>
      </c>
      <c r="C810" t="s">
        <v>1597</v>
      </c>
      <c r="D810" t="s">
        <v>106</v>
      </c>
    </row>
    <row r="811" spans="1:4" x14ac:dyDescent="0.25">
      <c r="A811" t="s">
        <v>1598</v>
      </c>
      <c r="B811" t="s">
        <v>33</v>
      </c>
      <c r="C811" t="s">
        <v>1599</v>
      </c>
      <c r="D811" t="s">
        <v>106</v>
      </c>
    </row>
    <row r="812" spans="1:4" x14ac:dyDescent="0.25">
      <c r="A812" t="s">
        <v>1600</v>
      </c>
      <c r="B812" t="s">
        <v>33</v>
      </c>
      <c r="C812" t="s">
        <v>1601</v>
      </c>
      <c r="D812" t="s">
        <v>106</v>
      </c>
    </row>
    <row r="813" spans="1:4" x14ac:dyDescent="0.25">
      <c r="A813" t="s">
        <v>1602</v>
      </c>
      <c r="B813" t="s">
        <v>33</v>
      </c>
      <c r="C813" t="s">
        <v>1603</v>
      </c>
    </row>
    <row r="814" spans="1:4" x14ac:dyDescent="0.25">
      <c r="A814" t="s">
        <v>1604</v>
      </c>
      <c r="B814" t="s">
        <v>33</v>
      </c>
      <c r="C814" t="s">
        <v>1605</v>
      </c>
      <c r="D814" t="s">
        <v>106</v>
      </c>
    </row>
    <row r="815" spans="1:4" x14ac:dyDescent="0.25">
      <c r="A815" t="s">
        <v>1606</v>
      </c>
      <c r="B815" t="s">
        <v>33</v>
      </c>
      <c r="C815" t="s">
        <v>1607</v>
      </c>
      <c r="D815" t="s">
        <v>106</v>
      </c>
    </row>
    <row r="816" spans="1:4" x14ac:dyDescent="0.25">
      <c r="A816" t="s">
        <v>1608</v>
      </c>
      <c r="B816" t="s">
        <v>33</v>
      </c>
      <c r="C816" t="s">
        <v>1609</v>
      </c>
      <c r="D816" t="s">
        <v>106</v>
      </c>
    </row>
    <row r="817" spans="1:4" x14ac:dyDescent="0.25">
      <c r="A817" t="s">
        <v>1610</v>
      </c>
      <c r="B817" t="s">
        <v>33</v>
      </c>
      <c r="C817" t="s">
        <v>1611</v>
      </c>
      <c r="D817" t="s">
        <v>50</v>
      </c>
    </row>
    <row r="818" spans="1:4" x14ac:dyDescent="0.25">
      <c r="A818" t="s">
        <v>1612</v>
      </c>
      <c r="B818" t="s">
        <v>33</v>
      </c>
      <c r="C818" t="s">
        <v>1613</v>
      </c>
      <c r="D818" t="s">
        <v>106</v>
      </c>
    </row>
    <row r="819" spans="1:4" x14ac:dyDescent="0.25">
      <c r="A819" t="s">
        <v>1614</v>
      </c>
      <c r="B819" t="s">
        <v>33</v>
      </c>
      <c r="C819" t="s">
        <v>1615</v>
      </c>
      <c r="D819" t="s">
        <v>106</v>
      </c>
    </row>
    <row r="820" spans="1:4" x14ac:dyDescent="0.25">
      <c r="A820" t="s">
        <v>1616</v>
      </c>
      <c r="B820" t="s">
        <v>33</v>
      </c>
      <c r="C820" t="s">
        <v>1617</v>
      </c>
      <c r="D820" t="s">
        <v>106</v>
      </c>
    </row>
    <row r="821" spans="1:4" x14ac:dyDescent="0.25">
      <c r="A821" t="s">
        <v>1618</v>
      </c>
      <c r="B821" t="s">
        <v>33</v>
      </c>
      <c r="C821" t="s">
        <v>1619</v>
      </c>
      <c r="D821" t="s">
        <v>106</v>
      </c>
    </row>
    <row r="822" spans="1:4" x14ac:dyDescent="0.25">
      <c r="A822" t="s">
        <v>1620</v>
      </c>
      <c r="B822" t="s">
        <v>33</v>
      </c>
      <c r="C822" t="s">
        <v>1621</v>
      </c>
      <c r="D822" t="s">
        <v>106</v>
      </c>
    </row>
    <row r="823" spans="1:4" x14ac:dyDescent="0.25">
      <c r="A823" t="s">
        <v>1622</v>
      </c>
      <c r="B823" t="s">
        <v>33</v>
      </c>
      <c r="C823" t="s">
        <v>1623</v>
      </c>
      <c r="D823" t="s">
        <v>106</v>
      </c>
    </row>
    <row r="824" spans="1:4" x14ac:dyDescent="0.25">
      <c r="A824" t="s">
        <v>1624</v>
      </c>
      <c r="B824" t="s">
        <v>33</v>
      </c>
      <c r="C824" t="s">
        <v>1625</v>
      </c>
      <c r="D824" t="s">
        <v>106</v>
      </c>
    </row>
    <row r="825" spans="1:4" x14ac:dyDescent="0.25">
      <c r="A825" t="s">
        <v>1626</v>
      </c>
      <c r="B825" t="s">
        <v>33</v>
      </c>
      <c r="C825" t="s">
        <v>1627</v>
      </c>
      <c r="D825" t="s">
        <v>106</v>
      </c>
    </row>
    <row r="826" spans="1:4" x14ac:dyDescent="0.25">
      <c r="A826" t="s">
        <v>1628</v>
      </c>
      <c r="B826" t="s">
        <v>33</v>
      </c>
      <c r="C826" t="s">
        <v>1629</v>
      </c>
      <c r="D826" t="s">
        <v>106</v>
      </c>
    </row>
    <row r="827" spans="1:4" x14ac:dyDescent="0.25">
      <c r="A827" t="s">
        <v>1630</v>
      </c>
      <c r="B827" t="s">
        <v>33</v>
      </c>
      <c r="C827" t="s">
        <v>1631</v>
      </c>
      <c r="D827" t="s">
        <v>106</v>
      </c>
    </row>
    <row r="833" spans="1:4" x14ac:dyDescent="0.25">
      <c r="A833" t="s">
        <v>1632</v>
      </c>
      <c r="B833" t="s">
        <v>1454</v>
      </c>
      <c r="C833" t="s">
        <v>1633</v>
      </c>
      <c r="D833" t="s">
        <v>106</v>
      </c>
    </row>
    <row r="834" spans="1:4" x14ac:dyDescent="0.25">
      <c r="A834" t="s">
        <v>1634</v>
      </c>
      <c r="B834" t="s">
        <v>1454</v>
      </c>
      <c r="C834" t="s">
        <v>1635</v>
      </c>
      <c r="D834" t="s">
        <v>106</v>
      </c>
    </row>
    <row r="835" spans="1:4" x14ac:dyDescent="0.25">
      <c r="A835" t="s">
        <v>1636</v>
      </c>
      <c r="B835" t="s">
        <v>1454</v>
      </c>
      <c r="C835" t="s">
        <v>1637</v>
      </c>
      <c r="D835" t="s">
        <v>106</v>
      </c>
    </row>
    <row r="836" spans="1:4" x14ac:dyDescent="0.25">
      <c r="A836" t="s">
        <v>1638</v>
      </c>
      <c r="B836" t="s">
        <v>1454</v>
      </c>
      <c r="C836" t="s">
        <v>1639</v>
      </c>
      <c r="D836" t="s">
        <v>106</v>
      </c>
    </row>
    <row r="837" spans="1:4" x14ac:dyDescent="0.25">
      <c r="A837" t="s">
        <v>1640</v>
      </c>
      <c r="B837" t="s">
        <v>1454</v>
      </c>
      <c r="C837" t="s">
        <v>1641</v>
      </c>
      <c r="D837" t="s">
        <v>106</v>
      </c>
    </row>
    <row r="838" spans="1:4" x14ac:dyDescent="0.25">
      <c r="A838" t="s">
        <v>1642</v>
      </c>
      <c r="B838" t="s">
        <v>1454</v>
      </c>
      <c r="C838" t="s">
        <v>1643</v>
      </c>
      <c r="D838" t="s">
        <v>106</v>
      </c>
    </row>
    <row r="839" spans="1:4" x14ac:dyDescent="0.25">
      <c r="A839" t="s">
        <v>1644</v>
      </c>
      <c r="B839" t="s">
        <v>1454</v>
      </c>
      <c r="C839" t="s">
        <v>1645</v>
      </c>
      <c r="D839" t="s">
        <v>106</v>
      </c>
    </row>
    <row r="840" spans="1:4" x14ac:dyDescent="0.25">
      <c r="A840" t="s">
        <v>1646</v>
      </c>
      <c r="B840" t="s">
        <v>1454</v>
      </c>
      <c r="C840" t="s">
        <v>1647</v>
      </c>
      <c r="D840" t="s">
        <v>106</v>
      </c>
    </row>
    <row r="841" spans="1:4" x14ac:dyDescent="0.25">
      <c r="A841" t="s">
        <v>1648</v>
      </c>
      <c r="B841" t="s">
        <v>1454</v>
      </c>
      <c r="C841" t="s">
        <v>1649</v>
      </c>
      <c r="D841" t="s">
        <v>106</v>
      </c>
    </row>
    <row r="842" spans="1:4" x14ac:dyDescent="0.25">
      <c r="A842" t="s">
        <v>1650</v>
      </c>
      <c r="B842" t="s">
        <v>1454</v>
      </c>
      <c r="C842" t="s">
        <v>1651</v>
      </c>
      <c r="D842" t="s">
        <v>106</v>
      </c>
    </row>
    <row r="843" spans="1:4" x14ac:dyDescent="0.25">
      <c r="A843" t="s">
        <v>1652</v>
      </c>
      <c r="B843" t="s">
        <v>1454</v>
      </c>
      <c r="C843" t="s">
        <v>1653</v>
      </c>
      <c r="D843" t="s">
        <v>106</v>
      </c>
    </row>
    <row r="844" spans="1:4" x14ac:dyDescent="0.25">
      <c r="A844" t="s">
        <v>1654</v>
      </c>
      <c r="B844" t="s">
        <v>1454</v>
      </c>
      <c r="C844" t="s">
        <v>1655</v>
      </c>
      <c r="D844" t="s">
        <v>106</v>
      </c>
    </row>
    <row r="845" spans="1:4" x14ac:dyDescent="0.25">
      <c r="A845" t="s">
        <v>1656</v>
      </c>
      <c r="B845" t="s">
        <v>1454</v>
      </c>
      <c r="C845" t="s">
        <v>1657</v>
      </c>
      <c r="D845" t="s">
        <v>106</v>
      </c>
    </row>
    <row r="846" spans="1:4" x14ac:dyDescent="0.25">
      <c r="A846" t="s">
        <v>1658</v>
      </c>
      <c r="B846" t="s">
        <v>1454</v>
      </c>
      <c r="C846" t="s">
        <v>1659</v>
      </c>
      <c r="D846" t="s">
        <v>106</v>
      </c>
    </row>
    <row r="847" spans="1:4" x14ac:dyDescent="0.25">
      <c r="A847" t="s">
        <v>1660</v>
      </c>
      <c r="B847" t="s">
        <v>1454</v>
      </c>
      <c r="C847" t="s">
        <v>1661</v>
      </c>
      <c r="D847" t="s">
        <v>106</v>
      </c>
    </row>
    <row r="848" spans="1:4" x14ac:dyDescent="0.25">
      <c r="A848" t="s">
        <v>1662</v>
      </c>
      <c r="B848" t="s">
        <v>1454</v>
      </c>
      <c r="C848" t="s">
        <v>1663</v>
      </c>
      <c r="D848" t="s">
        <v>106</v>
      </c>
    </row>
    <row r="849" spans="1:4" x14ac:dyDescent="0.25">
      <c r="A849" t="s">
        <v>1664</v>
      </c>
      <c r="B849" t="s">
        <v>1454</v>
      </c>
      <c r="C849" t="s">
        <v>1665</v>
      </c>
      <c r="D849" t="s">
        <v>106</v>
      </c>
    </row>
    <row r="850" spans="1:4" x14ac:dyDescent="0.25">
      <c r="A850" t="s">
        <v>1666</v>
      </c>
      <c r="B850" t="s">
        <v>1454</v>
      </c>
      <c r="C850" t="s">
        <v>1667</v>
      </c>
      <c r="D850" t="s">
        <v>106</v>
      </c>
    </row>
    <row r="851" spans="1:4" x14ac:dyDescent="0.25">
      <c r="A851" t="s">
        <v>1668</v>
      </c>
      <c r="B851" t="s">
        <v>1454</v>
      </c>
      <c r="C851" t="s">
        <v>1669</v>
      </c>
      <c r="D851" t="s">
        <v>106</v>
      </c>
    </row>
    <row r="852" spans="1:4" x14ac:dyDescent="0.25">
      <c r="A852" t="s">
        <v>1670</v>
      </c>
      <c r="B852" t="s">
        <v>1454</v>
      </c>
      <c r="C852" t="s">
        <v>1671</v>
      </c>
      <c r="D852" t="s">
        <v>106</v>
      </c>
    </row>
    <row r="853" spans="1:4" x14ac:dyDescent="0.25">
      <c r="A853" t="s">
        <v>1672</v>
      </c>
      <c r="B853" t="s">
        <v>1454</v>
      </c>
      <c r="C853" t="s">
        <v>1673</v>
      </c>
      <c r="D853" t="s">
        <v>106</v>
      </c>
    </row>
    <row r="854" spans="1:4" x14ac:dyDescent="0.25">
      <c r="A854" t="s">
        <v>1674</v>
      </c>
      <c r="B854" t="s">
        <v>1454</v>
      </c>
      <c r="C854" t="s">
        <v>1675</v>
      </c>
      <c r="D854" t="s">
        <v>106</v>
      </c>
    </row>
    <row r="855" spans="1:4" x14ac:dyDescent="0.25">
      <c r="A855" t="s">
        <v>1676</v>
      </c>
      <c r="B855" t="s">
        <v>1454</v>
      </c>
      <c r="C855" t="s">
        <v>1677</v>
      </c>
      <c r="D855" t="s">
        <v>106</v>
      </c>
    </row>
    <row r="856" spans="1:4" x14ac:dyDescent="0.25">
      <c r="A856" t="s">
        <v>1678</v>
      </c>
      <c r="B856" t="s">
        <v>1454</v>
      </c>
      <c r="C856" t="s">
        <v>1679</v>
      </c>
      <c r="D856" t="s">
        <v>106</v>
      </c>
    </row>
    <row r="857" spans="1:4" x14ac:dyDescent="0.25">
      <c r="A857" t="s">
        <v>1680</v>
      </c>
      <c r="B857" t="s">
        <v>1454</v>
      </c>
      <c r="C857" t="s">
        <v>1681</v>
      </c>
      <c r="D857" t="s">
        <v>106</v>
      </c>
    </row>
    <row r="858" spans="1:4" x14ac:dyDescent="0.25">
      <c r="A858" t="s">
        <v>1682</v>
      </c>
      <c r="B858" t="s">
        <v>1454</v>
      </c>
      <c r="C858" t="s">
        <v>1683</v>
      </c>
      <c r="D858" t="s">
        <v>106</v>
      </c>
    </row>
    <row r="859" spans="1:4" x14ac:dyDescent="0.25">
      <c r="A859" t="s">
        <v>1684</v>
      </c>
      <c r="B859" t="s">
        <v>1454</v>
      </c>
      <c r="C859" t="s">
        <v>1685</v>
      </c>
      <c r="D859" t="s">
        <v>106</v>
      </c>
    </row>
    <row r="860" spans="1:4" x14ac:dyDescent="0.25">
      <c r="A860" t="s">
        <v>1686</v>
      </c>
      <c r="B860" t="s">
        <v>1454</v>
      </c>
      <c r="C860" t="s">
        <v>1687</v>
      </c>
      <c r="D860" t="s">
        <v>106</v>
      </c>
    </row>
    <row r="861" spans="1:4" x14ac:dyDescent="0.25">
      <c r="A861" t="s">
        <v>1688</v>
      </c>
      <c r="B861" t="s">
        <v>1454</v>
      </c>
      <c r="C861" t="s">
        <v>1689</v>
      </c>
      <c r="D861" t="s">
        <v>106</v>
      </c>
    </row>
    <row r="862" spans="1:4" x14ac:dyDescent="0.25">
      <c r="A862" t="s">
        <v>1690</v>
      </c>
      <c r="B862" t="s">
        <v>1454</v>
      </c>
      <c r="C862" t="s">
        <v>1691</v>
      </c>
      <c r="D862" t="s">
        <v>106</v>
      </c>
    </row>
    <row r="863" spans="1:4" x14ac:dyDescent="0.25">
      <c r="A863" t="s">
        <v>1692</v>
      </c>
      <c r="B863" t="s">
        <v>1454</v>
      </c>
      <c r="C863" t="s">
        <v>1693</v>
      </c>
      <c r="D863" t="s">
        <v>106</v>
      </c>
    </row>
    <row r="864" spans="1:4" x14ac:dyDescent="0.25">
      <c r="A864" t="s">
        <v>1694</v>
      </c>
      <c r="B864" t="s">
        <v>1454</v>
      </c>
      <c r="C864" t="s">
        <v>1695</v>
      </c>
      <c r="D864" t="s">
        <v>106</v>
      </c>
    </row>
    <row r="865" spans="1:4" x14ac:dyDescent="0.25">
      <c r="A865" t="s">
        <v>1696</v>
      </c>
      <c r="B865" t="s">
        <v>1454</v>
      </c>
      <c r="C865" t="s">
        <v>1697</v>
      </c>
      <c r="D865" t="s">
        <v>106</v>
      </c>
    </row>
    <row r="866" spans="1:4" x14ac:dyDescent="0.25">
      <c r="A866" t="s">
        <v>1698</v>
      </c>
      <c r="B866" t="s">
        <v>1454</v>
      </c>
      <c r="C866" t="s">
        <v>1699</v>
      </c>
      <c r="D866" t="s">
        <v>106</v>
      </c>
    </row>
    <row r="867" spans="1:4" x14ac:dyDescent="0.25">
      <c r="A867" t="s">
        <v>1700</v>
      </c>
      <c r="B867" t="s">
        <v>1454</v>
      </c>
      <c r="C867" t="s">
        <v>1701</v>
      </c>
      <c r="D867" t="s">
        <v>106</v>
      </c>
    </row>
    <row r="868" spans="1:4" x14ac:dyDescent="0.25">
      <c r="A868" t="s">
        <v>1702</v>
      </c>
      <c r="B868" t="s">
        <v>1454</v>
      </c>
      <c r="C868" t="s">
        <v>1703</v>
      </c>
      <c r="D868" t="s">
        <v>106</v>
      </c>
    </row>
    <row r="869" spans="1:4" x14ac:dyDescent="0.25">
      <c r="A869" t="s">
        <v>1704</v>
      </c>
      <c r="B869" t="s">
        <v>1454</v>
      </c>
      <c r="C869" t="s">
        <v>1705</v>
      </c>
      <c r="D869" t="s">
        <v>106</v>
      </c>
    </row>
    <row r="870" spans="1:4" x14ac:dyDescent="0.25">
      <c r="A870" t="s">
        <v>1706</v>
      </c>
      <c r="B870" t="s">
        <v>1454</v>
      </c>
      <c r="C870" t="s">
        <v>1707</v>
      </c>
      <c r="D870" t="s">
        <v>106</v>
      </c>
    </row>
    <row r="871" spans="1:4" x14ac:dyDescent="0.25">
      <c r="A871" t="s">
        <v>1708</v>
      </c>
      <c r="B871" t="s">
        <v>1454</v>
      </c>
      <c r="C871" t="s">
        <v>1709</v>
      </c>
      <c r="D871" t="s">
        <v>106</v>
      </c>
    </row>
    <row r="872" spans="1:4" x14ac:dyDescent="0.25">
      <c r="A872" t="s">
        <v>1710</v>
      </c>
      <c r="B872" t="s">
        <v>1454</v>
      </c>
      <c r="C872" t="s">
        <v>1711</v>
      </c>
      <c r="D872" t="s">
        <v>106</v>
      </c>
    </row>
    <row r="873" spans="1:4" x14ac:dyDescent="0.25">
      <c r="A873" t="s">
        <v>1712</v>
      </c>
      <c r="B873" t="s">
        <v>1454</v>
      </c>
      <c r="C873" t="s">
        <v>1713</v>
      </c>
      <c r="D873" t="s">
        <v>106</v>
      </c>
    </row>
    <row r="874" spans="1:4" x14ac:dyDescent="0.25">
      <c r="A874" t="s">
        <v>1714</v>
      </c>
      <c r="B874" t="s">
        <v>1454</v>
      </c>
      <c r="C874" t="s">
        <v>1715</v>
      </c>
      <c r="D874" t="s">
        <v>106</v>
      </c>
    </row>
    <row r="875" spans="1:4" x14ac:dyDescent="0.25">
      <c r="A875" t="s">
        <v>1716</v>
      </c>
      <c r="B875" t="s">
        <v>1454</v>
      </c>
      <c r="C875" t="s">
        <v>1717</v>
      </c>
      <c r="D875" t="s">
        <v>106</v>
      </c>
    </row>
    <row r="876" spans="1:4" x14ac:dyDescent="0.25">
      <c r="A876" t="s">
        <v>1718</v>
      </c>
      <c r="B876" t="s">
        <v>1454</v>
      </c>
      <c r="C876" t="s">
        <v>1719</v>
      </c>
      <c r="D876" t="s">
        <v>106</v>
      </c>
    </row>
    <row r="877" spans="1:4" x14ac:dyDescent="0.25">
      <c r="A877" t="s">
        <v>1720</v>
      </c>
      <c r="B877" t="s">
        <v>1454</v>
      </c>
      <c r="C877" t="s">
        <v>1721</v>
      </c>
      <c r="D877" t="s">
        <v>106</v>
      </c>
    </row>
    <row r="878" spans="1:4" x14ac:dyDescent="0.25">
      <c r="A878" t="s">
        <v>1722</v>
      </c>
      <c r="B878" t="s">
        <v>1454</v>
      </c>
      <c r="C878" t="s">
        <v>1723</v>
      </c>
      <c r="D878" t="s">
        <v>106</v>
      </c>
    </row>
    <row r="879" spans="1:4" x14ac:dyDescent="0.25">
      <c r="A879" t="s">
        <v>1724</v>
      </c>
      <c r="B879" t="s">
        <v>1454</v>
      </c>
      <c r="C879" t="s">
        <v>1725</v>
      </c>
      <c r="D879" t="s">
        <v>106</v>
      </c>
    </row>
    <row r="880" spans="1:4" x14ac:dyDescent="0.25">
      <c r="A880" t="s">
        <v>1726</v>
      </c>
      <c r="B880" t="s">
        <v>1454</v>
      </c>
      <c r="C880" t="s">
        <v>1727</v>
      </c>
      <c r="D880" t="s">
        <v>106</v>
      </c>
    </row>
    <row r="881" spans="1:4" x14ac:dyDescent="0.25">
      <c r="A881" t="s">
        <v>1728</v>
      </c>
      <c r="B881" t="s">
        <v>1454</v>
      </c>
      <c r="C881" t="s">
        <v>1729</v>
      </c>
      <c r="D881" t="s">
        <v>106</v>
      </c>
    </row>
    <row r="882" spans="1:4" x14ac:dyDescent="0.25">
      <c r="A882" t="s">
        <v>1730</v>
      </c>
      <c r="B882" t="s">
        <v>1454</v>
      </c>
      <c r="C882" t="s">
        <v>1731</v>
      </c>
      <c r="D882" t="s">
        <v>106</v>
      </c>
    </row>
    <row r="883" spans="1:4" x14ac:dyDescent="0.25">
      <c r="A883" t="s">
        <v>1732</v>
      </c>
      <c r="B883" t="s">
        <v>1454</v>
      </c>
      <c r="C883" t="s">
        <v>1733</v>
      </c>
      <c r="D883" t="s">
        <v>106</v>
      </c>
    </row>
    <row r="884" spans="1:4" x14ac:dyDescent="0.25">
      <c r="A884" t="s">
        <v>1734</v>
      </c>
      <c r="B884" t="s">
        <v>1454</v>
      </c>
      <c r="C884" t="s">
        <v>1735</v>
      </c>
      <c r="D884" t="s">
        <v>106</v>
      </c>
    </row>
    <row r="885" spans="1:4" x14ac:dyDescent="0.25">
      <c r="A885" t="s">
        <v>1736</v>
      </c>
      <c r="B885" t="s">
        <v>1454</v>
      </c>
      <c r="C885" t="s">
        <v>1737</v>
      </c>
      <c r="D885" t="s">
        <v>106</v>
      </c>
    </row>
    <row r="886" spans="1:4" x14ac:dyDescent="0.25">
      <c r="A886" t="s">
        <v>1738</v>
      </c>
      <c r="B886" t="s">
        <v>1454</v>
      </c>
      <c r="C886" t="s">
        <v>1739</v>
      </c>
      <c r="D886" t="s">
        <v>106</v>
      </c>
    </row>
    <row r="887" spans="1:4" x14ac:dyDescent="0.25">
      <c r="A887" t="s">
        <v>1740</v>
      </c>
      <c r="B887" t="s">
        <v>1454</v>
      </c>
      <c r="C887" t="s">
        <v>1741</v>
      </c>
      <c r="D887" t="s">
        <v>16</v>
      </c>
    </row>
    <row r="888" spans="1:4" x14ac:dyDescent="0.25">
      <c r="A888" t="s">
        <v>1742</v>
      </c>
      <c r="B888" t="s">
        <v>1454</v>
      </c>
      <c r="C888" t="s">
        <v>1743</v>
      </c>
      <c r="D888" t="s">
        <v>16</v>
      </c>
    </row>
    <row r="889" spans="1:4" x14ac:dyDescent="0.25">
      <c r="A889" t="s">
        <v>1744</v>
      </c>
      <c r="B889" t="s">
        <v>1454</v>
      </c>
      <c r="C889" t="s">
        <v>1745</v>
      </c>
      <c r="D889" t="s">
        <v>16</v>
      </c>
    </row>
    <row r="890" spans="1:4" x14ac:dyDescent="0.25">
      <c r="A890" t="s">
        <v>1746</v>
      </c>
      <c r="B890" t="s">
        <v>1454</v>
      </c>
      <c r="C890" t="s">
        <v>1747</v>
      </c>
      <c r="D890" t="s">
        <v>106</v>
      </c>
    </row>
    <row r="891" spans="1:4" x14ac:dyDescent="0.25">
      <c r="A891" t="s">
        <v>1748</v>
      </c>
      <c r="B891" t="s">
        <v>1454</v>
      </c>
      <c r="C891" t="s">
        <v>1749</v>
      </c>
      <c r="D891" t="s">
        <v>106</v>
      </c>
    </row>
    <row r="892" spans="1:4" x14ac:dyDescent="0.25">
      <c r="A892" t="s">
        <v>1750</v>
      </c>
      <c r="B892" t="s">
        <v>1454</v>
      </c>
      <c r="C892" t="s">
        <v>1751</v>
      </c>
      <c r="D892" t="s">
        <v>106</v>
      </c>
    </row>
    <row r="893" spans="1:4" x14ac:dyDescent="0.25">
      <c r="A893" t="s">
        <v>1752</v>
      </c>
      <c r="B893" t="s">
        <v>1454</v>
      </c>
      <c r="C893" t="s">
        <v>1753</v>
      </c>
      <c r="D893" t="s">
        <v>106</v>
      </c>
    </row>
    <row r="894" spans="1:4" x14ac:dyDescent="0.25">
      <c r="A894" t="s">
        <v>1754</v>
      </c>
      <c r="B894" t="s">
        <v>1454</v>
      </c>
      <c r="C894" t="s">
        <v>1755</v>
      </c>
      <c r="D894" t="s">
        <v>106</v>
      </c>
    </row>
    <row r="895" spans="1:4" x14ac:dyDescent="0.25">
      <c r="A895" t="s">
        <v>1756</v>
      </c>
      <c r="B895" t="s">
        <v>1454</v>
      </c>
      <c r="C895" t="s">
        <v>1757</v>
      </c>
      <c r="D895" t="s">
        <v>106</v>
      </c>
    </row>
    <row r="896" spans="1:4" x14ac:dyDescent="0.25">
      <c r="A896" t="s">
        <v>1758</v>
      </c>
      <c r="B896" t="s">
        <v>1454</v>
      </c>
      <c r="C896" t="s">
        <v>1759</v>
      </c>
      <c r="D896" t="s">
        <v>106</v>
      </c>
    </row>
    <row r="897" spans="1:4" x14ac:dyDescent="0.25">
      <c r="A897" t="s">
        <v>1760</v>
      </c>
      <c r="B897" t="s">
        <v>1454</v>
      </c>
      <c r="C897" t="s">
        <v>1761</v>
      </c>
      <c r="D897" t="s">
        <v>106</v>
      </c>
    </row>
    <row r="898" spans="1:4" x14ac:dyDescent="0.25">
      <c r="A898" t="s">
        <v>1762</v>
      </c>
      <c r="B898" t="s">
        <v>1454</v>
      </c>
      <c r="C898" t="s">
        <v>1763</v>
      </c>
      <c r="D898" t="s">
        <v>16</v>
      </c>
    </row>
    <row r="899" spans="1:4" x14ac:dyDescent="0.25">
      <c r="A899" t="s">
        <v>1764</v>
      </c>
      <c r="B899" t="s">
        <v>1454</v>
      </c>
      <c r="C899" t="s">
        <v>1765</v>
      </c>
      <c r="D899" t="s">
        <v>106</v>
      </c>
    </row>
    <row r="900" spans="1:4" x14ac:dyDescent="0.25">
      <c r="A900" t="s">
        <v>1766</v>
      </c>
      <c r="B900" t="s">
        <v>1454</v>
      </c>
      <c r="C900" t="s">
        <v>1767</v>
      </c>
      <c r="D900" t="s">
        <v>106</v>
      </c>
    </row>
    <row r="901" spans="1:4" x14ac:dyDescent="0.25">
      <c r="A901" t="s">
        <v>1768</v>
      </c>
      <c r="B901" t="s">
        <v>1454</v>
      </c>
      <c r="C901" t="s">
        <v>1769</v>
      </c>
      <c r="D901" t="s">
        <v>106</v>
      </c>
    </row>
    <row r="902" spans="1:4" x14ac:dyDescent="0.25">
      <c r="A902" t="s">
        <v>1770</v>
      </c>
      <c r="B902" t="s">
        <v>1454</v>
      </c>
      <c r="C902" t="s">
        <v>1771</v>
      </c>
      <c r="D902" t="s">
        <v>106</v>
      </c>
    </row>
    <row r="903" spans="1:4" x14ac:dyDescent="0.25">
      <c r="A903" t="s">
        <v>1772</v>
      </c>
      <c r="B903" t="s">
        <v>1454</v>
      </c>
      <c r="C903" t="s">
        <v>1773</v>
      </c>
      <c r="D903" t="s">
        <v>106</v>
      </c>
    </row>
    <row r="904" spans="1:4" x14ac:dyDescent="0.25">
      <c r="A904" t="s">
        <v>1774</v>
      </c>
      <c r="B904" t="s">
        <v>1454</v>
      </c>
      <c r="C904" t="s">
        <v>1775</v>
      </c>
      <c r="D904" t="s">
        <v>106</v>
      </c>
    </row>
    <row r="905" spans="1:4" x14ac:dyDescent="0.25">
      <c r="A905" t="s">
        <v>1776</v>
      </c>
      <c r="B905" t="s">
        <v>1454</v>
      </c>
      <c r="C905" t="s">
        <v>1777</v>
      </c>
      <c r="D905" t="s">
        <v>106</v>
      </c>
    </row>
    <row r="906" spans="1:4" x14ac:dyDescent="0.25">
      <c r="A906" t="s">
        <v>1778</v>
      </c>
      <c r="B906" t="s">
        <v>1454</v>
      </c>
      <c r="C906" t="s">
        <v>1779</v>
      </c>
      <c r="D906" t="s">
        <v>106</v>
      </c>
    </row>
    <row r="907" spans="1:4" x14ac:dyDescent="0.25">
      <c r="A907" t="s">
        <v>1780</v>
      </c>
      <c r="B907" t="s">
        <v>1454</v>
      </c>
      <c r="C907" t="s">
        <v>1781</v>
      </c>
      <c r="D907" t="s">
        <v>106</v>
      </c>
    </row>
    <row r="908" spans="1:4" x14ac:dyDescent="0.25">
      <c r="A908" t="s">
        <v>1782</v>
      </c>
      <c r="B908" t="s">
        <v>1454</v>
      </c>
      <c r="C908" t="s">
        <v>1783</v>
      </c>
      <c r="D908" t="s">
        <v>106</v>
      </c>
    </row>
    <row r="909" spans="1:4" x14ac:dyDescent="0.25">
      <c r="A909" t="s">
        <v>1784</v>
      </c>
      <c r="B909" t="s">
        <v>1454</v>
      </c>
      <c r="C909" t="s">
        <v>1785</v>
      </c>
      <c r="D909" t="s">
        <v>106</v>
      </c>
    </row>
    <row r="910" spans="1:4" x14ac:dyDescent="0.25">
      <c r="A910" t="s">
        <v>1786</v>
      </c>
      <c r="B910" t="s">
        <v>1454</v>
      </c>
      <c r="C910" t="s">
        <v>1787</v>
      </c>
      <c r="D910" t="s">
        <v>106</v>
      </c>
    </row>
    <row r="911" spans="1:4" x14ac:dyDescent="0.25">
      <c r="A911" t="s">
        <v>1788</v>
      </c>
      <c r="B911" t="s">
        <v>1454</v>
      </c>
      <c r="C911" t="s">
        <v>1789</v>
      </c>
      <c r="D911" t="s">
        <v>16</v>
      </c>
    </row>
    <row r="912" spans="1:4" x14ac:dyDescent="0.25">
      <c r="A912" t="s">
        <v>1790</v>
      </c>
      <c r="B912" t="s">
        <v>1454</v>
      </c>
      <c r="C912" t="s">
        <v>1791</v>
      </c>
      <c r="D912" t="s">
        <v>16</v>
      </c>
    </row>
    <row r="913" spans="1:4" x14ac:dyDescent="0.25">
      <c r="A913" t="s">
        <v>1792</v>
      </c>
      <c r="B913" t="s">
        <v>1454</v>
      </c>
      <c r="C913" t="s">
        <v>1793</v>
      </c>
      <c r="D913" t="s">
        <v>16</v>
      </c>
    </row>
    <row r="914" spans="1:4" x14ac:dyDescent="0.25">
      <c r="A914" t="s">
        <v>1794</v>
      </c>
      <c r="B914" t="s">
        <v>1454</v>
      </c>
      <c r="C914" t="s">
        <v>1795</v>
      </c>
      <c r="D914" t="s">
        <v>106</v>
      </c>
    </row>
    <row r="915" spans="1:4" x14ac:dyDescent="0.25">
      <c r="A915" t="s">
        <v>1796</v>
      </c>
      <c r="B915" t="s">
        <v>1454</v>
      </c>
      <c r="C915" t="s">
        <v>1797</v>
      </c>
      <c r="D915" t="s">
        <v>16</v>
      </c>
    </row>
    <row r="916" spans="1:4" x14ac:dyDescent="0.25">
      <c r="A916" t="s">
        <v>1798</v>
      </c>
      <c r="B916" t="s">
        <v>1454</v>
      </c>
      <c r="C916" t="s">
        <v>1799</v>
      </c>
      <c r="D916" t="s">
        <v>16</v>
      </c>
    </row>
    <row r="917" spans="1:4" x14ac:dyDescent="0.25">
      <c r="A917" t="s">
        <v>1800</v>
      </c>
      <c r="B917" t="s">
        <v>1454</v>
      </c>
      <c r="C917" t="s">
        <v>1801</v>
      </c>
      <c r="D917" t="s">
        <v>106</v>
      </c>
    </row>
    <row r="918" spans="1:4" x14ac:dyDescent="0.25">
      <c r="A918" t="s">
        <v>1802</v>
      </c>
      <c r="B918" t="s">
        <v>1454</v>
      </c>
      <c r="C918" t="s">
        <v>1803</v>
      </c>
      <c r="D918" t="s">
        <v>16</v>
      </c>
    </row>
    <row r="919" spans="1:4" x14ac:dyDescent="0.25">
      <c r="A919" t="s">
        <v>1804</v>
      </c>
      <c r="B919" t="s">
        <v>1454</v>
      </c>
      <c r="C919" t="s">
        <v>1805</v>
      </c>
      <c r="D919" t="s">
        <v>106</v>
      </c>
    </row>
    <row r="920" spans="1:4" x14ac:dyDescent="0.25">
      <c r="A920" t="s">
        <v>1806</v>
      </c>
      <c r="B920" t="s">
        <v>1454</v>
      </c>
      <c r="C920" t="s">
        <v>1807</v>
      </c>
      <c r="D920" t="s">
        <v>16</v>
      </c>
    </row>
    <row r="921" spans="1:4" x14ac:dyDescent="0.25">
      <c r="A921" t="s">
        <v>1808</v>
      </c>
      <c r="B921" t="s">
        <v>1454</v>
      </c>
      <c r="C921" t="s">
        <v>1809</v>
      </c>
      <c r="D921" t="s">
        <v>106</v>
      </c>
    </row>
    <row r="922" spans="1:4" x14ac:dyDescent="0.25">
      <c r="A922" t="s">
        <v>1810</v>
      </c>
      <c r="B922" t="s">
        <v>1454</v>
      </c>
      <c r="C922" t="s">
        <v>1811</v>
      </c>
      <c r="D922" t="s">
        <v>106</v>
      </c>
    </row>
    <row r="923" spans="1:4" x14ac:dyDescent="0.25">
      <c r="A923" t="s">
        <v>1812</v>
      </c>
      <c r="B923" t="s">
        <v>1454</v>
      </c>
      <c r="C923" t="s">
        <v>1813</v>
      </c>
      <c r="D923" t="s">
        <v>16</v>
      </c>
    </row>
    <row r="924" spans="1:4" x14ac:dyDescent="0.25">
      <c r="A924" t="s">
        <v>1814</v>
      </c>
      <c r="B924" t="s">
        <v>1454</v>
      </c>
      <c r="C924" t="s">
        <v>1815</v>
      </c>
      <c r="D924" t="s">
        <v>16</v>
      </c>
    </row>
    <row r="925" spans="1:4" x14ac:dyDescent="0.25">
      <c r="A925" t="s">
        <v>1816</v>
      </c>
      <c r="B925" t="s">
        <v>1454</v>
      </c>
      <c r="C925" t="s">
        <v>1817</v>
      </c>
      <c r="D925" t="s">
        <v>16</v>
      </c>
    </row>
    <row r="926" spans="1:4" x14ac:dyDescent="0.25">
      <c r="A926" t="s">
        <v>1818</v>
      </c>
      <c r="B926" t="s">
        <v>1454</v>
      </c>
      <c r="C926" t="s">
        <v>1819</v>
      </c>
      <c r="D926" t="s">
        <v>16</v>
      </c>
    </row>
    <row r="927" spans="1:4" x14ac:dyDescent="0.25">
      <c r="A927" t="s">
        <v>1820</v>
      </c>
      <c r="B927" t="s">
        <v>1454</v>
      </c>
      <c r="C927" t="s">
        <v>1821</v>
      </c>
      <c r="D927" t="s">
        <v>106</v>
      </c>
    </row>
    <row r="928" spans="1:4" x14ac:dyDescent="0.25">
      <c r="A928" t="s">
        <v>1822</v>
      </c>
      <c r="B928" t="s">
        <v>1454</v>
      </c>
      <c r="C928" t="s">
        <v>1823</v>
      </c>
      <c r="D928" t="s">
        <v>106</v>
      </c>
    </row>
    <row r="929" spans="1:4" x14ac:dyDescent="0.25">
      <c r="A929" t="s">
        <v>1824</v>
      </c>
      <c r="B929" t="s">
        <v>1454</v>
      </c>
      <c r="C929" t="s">
        <v>1825</v>
      </c>
      <c r="D929" t="s">
        <v>106</v>
      </c>
    </row>
    <row r="930" spans="1:4" x14ac:dyDescent="0.25">
      <c r="A930" t="s">
        <v>1826</v>
      </c>
      <c r="B930" t="s">
        <v>1454</v>
      </c>
      <c r="C930" t="s">
        <v>1827</v>
      </c>
      <c r="D930" t="s">
        <v>106</v>
      </c>
    </row>
    <row r="931" spans="1:4" x14ac:dyDescent="0.25">
      <c r="A931" t="s">
        <v>1828</v>
      </c>
      <c r="B931" t="s">
        <v>1454</v>
      </c>
      <c r="C931" t="s">
        <v>1829</v>
      </c>
      <c r="D931" t="s">
        <v>106</v>
      </c>
    </row>
    <row r="932" spans="1:4" x14ac:dyDescent="0.25">
      <c r="A932" t="s">
        <v>1830</v>
      </c>
      <c r="B932" t="s">
        <v>1454</v>
      </c>
      <c r="C932" t="s">
        <v>1831</v>
      </c>
      <c r="D932" t="s">
        <v>106</v>
      </c>
    </row>
    <row r="933" spans="1:4" x14ac:dyDescent="0.25">
      <c r="A933" t="s">
        <v>1832</v>
      </c>
      <c r="B933" t="s">
        <v>1454</v>
      </c>
      <c r="C933" t="s">
        <v>1833</v>
      </c>
      <c r="D933" t="s">
        <v>106</v>
      </c>
    </row>
    <row r="934" spans="1:4" x14ac:dyDescent="0.25">
      <c r="A934" t="s">
        <v>1834</v>
      </c>
      <c r="B934" t="s">
        <v>1454</v>
      </c>
      <c r="C934" t="s">
        <v>1835</v>
      </c>
      <c r="D934" t="s">
        <v>106</v>
      </c>
    </row>
    <row r="935" spans="1:4" x14ac:dyDescent="0.25">
      <c r="A935" t="s">
        <v>1836</v>
      </c>
      <c r="B935" t="s">
        <v>1454</v>
      </c>
      <c r="C935" t="s">
        <v>1837</v>
      </c>
      <c r="D935" t="s">
        <v>106</v>
      </c>
    </row>
    <row r="936" spans="1:4" x14ac:dyDescent="0.25">
      <c r="A936" t="s">
        <v>1838</v>
      </c>
      <c r="B936" t="s">
        <v>1454</v>
      </c>
      <c r="C936" t="s">
        <v>1839</v>
      </c>
      <c r="D936" t="s">
        <v>106</v>
      </c>
    </row>
    <row r="937" spans="1:4" x14ac:dyDescent="0.25">
      <c r="A937" t="s">
        <v>1840</v>
      </c>
      <c r="B937" t="s">
        <v>1454</v>
      </c>
      <c r="C937" t="s">
        <v>1841</v>
      </c>
      <c r="D937" t="s">
        <v>106</v>
      </c>
    </row>
    <row r="938" spans="1:4" x14ac:dyDescent="0.25">
      <c r="A938" t="s">
        <v>1842</v>
      </c>
      <c r="B938" t="s">
        <v>1454</v>
      </c>
      <c r="C938" t="s">
        <v>1843</v>
      </c>
      <c r="D938" t="s">
        <v>106</v>
      </c>
    </row>
    <row r="939" spans="1:4" x14ac:dyDescent="0.25">
      <c r="A939" t="s">
        <v>1844</v>
      </c>
      <c r="B939" t="s">
        <v>1454</v>
      </c>
      <c r="C939" t="s">
        <v>1845</v>
      </c>
      <c r="D939" t="s">
        <v>106</v>
      </c>
    </row>
    <row r="940" spans="1:4" x14ac:dyDescent="0.25">
      <c r="A940" t="s">
        <v>1846</v>
      </c>
      <c r="B940" t="s">
        <v>1454</v>
      </c>
      <c r="C940" t="s">
        <v>1847</v>
      </c>
      <c r="D940" t="s">
        <v>106</v>
      </c>
    </row>
    <row r="941" spans="1:4" x14ac:dyDescent="0.25">
      <c r="A941" t="s">
        <v>1848</v>
      </c>
      <c r="B941" t="s">
        <v>1454</v>
      </c>
      <c r="C941" t="s">
        <v>1849</v>
      </c>
      <c r="D941" t="s">
        <v>106</v>
      </c>
    </row>
    <row r="942" spans="1:4" x14ac:dyDescent="0.25">
      <c r="A942" t="s">
        <v>1850</v>
      </c>
      <c r="B942" t="s">
        <v>1454</v>
      </c>
      <c r="C942" t="s">
        <v>1851</v>
      </c>
      <c r="D942" t="s">
        <v>106</v>
      </c>
    </row>
    <row r="943" spans="1:4" x14ac:dyDescent="0.25">
      <c r="A943" t="s">
        <v>1852</v>
      </c>
      <c r="B943" t="s">
        <v>1454</v>
      </c>
      <c r="C943" t="s">
        <v>1853</v>
      </c>
      <c r="D943" t="s">
        <v>106</v>
      </c>
    </row>
    <row r="944" spans="1:4" x14ac:dyDescent="0.25">
      <c r="A944" t="s">
        <v>1854</v>
      </c>
      <c r="B944" t="s">
        <v>1454</v>
      </c>
      <c r="C944" t="s">
        <v>1855</v>
      </c>
      <c r="D944" t="s">
        <v>106</v>
      </c>
    </row>
    <row r="945" spans="1:4" x14ac:dyDescent="0.25">
      <c r="A945" t="s">
        <v>1856</v>
      </c>
      <c r="B945" t="s">
        <v>1454</v>
      </c>
      <c r="C945" t="s">
        <v>1857</v>
      </c>
      <c r="D945" t="s">
        <v>106</v>
      </c>
    </row>
    <row r="946" spans="1:4" x14ac:dyDescent="0.25">
      <c r="A946" t="s">
        <v>1858</v>
      </c>
      <c r="B946" t="s">
        <v>1454</v>
      </c>
      <c r="C946" t="s">
        <v>1859</v>
      </c>
      <c r="D946" t="s">
        <v>106</v>
      </c>
    </row>
    <row r="947" spans="1:4" x14ac:dyDescent="0.25">
      <c r="A947" t="s">
        <v>1860</v>
      </c>
      <c r="B947" t="s">
        <v>1454</v>
      </c>
      <c r="C947" t="s">
        <v>1861</v>
      </c>
      <c r="D947" t="s">
        <v>106</v>
      </c>
    </row>
    <row r="948" spans="1:4" x14ac:dyDescent="0.25">
      <c r="A948" t="s">
        <v>1862</v>
      </c>
      <c r="B948" t="s">
        <v>1454</v>
      </c>
      <c r="C948" t="s">
        <v>1863</v>
      </c>
      <c r="D948" t="s">
        <v>16</v>
      </c>
    </row>
    <row r="949" spans="1:4" x14ac:dyDescent="0.25">
      <c r="A949" t="s">
        <v>1864</v>
      </c>
      <c r="B949" t="s">
        <v>1454</v>
      </c>
      <c r="C949" t="s">
        <v>1865</v>
      </c>
      <c r="D949" t="s">
        <v>16</v>
      </c>
    </row>
    <row r="950" spans="1:4" x14ac:dyDescent="0.25">
      <c r="A950" t="s">
        <v>1866</v>
      </c>
      <c r="B950" t="s">
        <v>1454</v>
      </c>
      <c r="C950" t="s">
        <v>1867</v>
      </c>
      <c r="D950" t="s">
        <v>16</v>
      </c>
    </row>
    <row r="951" spans="1:4" x14ac:dyDescent="0.25">
      <c r="A951" t="s">
        <v>1868</v>
      </c>
      <c r="B951" t="s">
        <v>1454</v>
      </c>
      <c r="C951" t="s">
        <v>1869</v>
      </c>
      <c r="D951" t="s">
        <v>16</v>
      </c>
    </row>
    <row r="952" spans="1:4" x14ac:dyDescent="0.25">
      <c r="A952" t="s">
        <v>1870</v>
      </c>
      <c r="B952" t="s">
        <v>1454</v>
      </c>
      <c r="C952" t="s">
        <v>1871</v>
      </c>
      <c r="D952" t="s">
        <v>16</v>
      </c>
    </row>
    <row r="953" spans="1:4" x14ac:dyDescent="0.25">
      <c r="A953" t="s">
        <v>1872</v>
      </c>
      <c r="B953" t="s">
        <v>1454</v>
      </c>
      <c r="C953" t="s">
        <v>1873</v>
      </c>
      <c r="D953" t="s">
        <v>16</v>
      </c>
    </row>
    <row r="954" spans="1:4" x14ac:dyDescent="0.25">
      <c r="A954" t="s">
        <v>1874</v>
      </c>
      <c r="B954" t="s">
        <v>1454</v>
      </c>
      <c r="C954" t="s">
        <v>1875</v>
      </c>
      <c r="D954" t="s">
        <v>16</v>
      </c>
    </row>
    <row r="955" spans="1:4" x14ac:dyDescent="0.25">
      <c r="A955" t="s">
        <v>1876</v>
      </c>
      <c r="B955" t="s">
        <v>1454</v>
      </c>
      <c r="C955" t="s">
        <v>1877</v>
      </c>
      <c r="D955" t="s">
        <v>16</v>
      </c>
    </row>
    <row r="956" spans="1:4" x14ac:dyDescent="0.25">
      <c r="A956" t="s">
        <v>1878</v>
      </c>
      <c r="B956" t="s">
        <v>1454</v>
      </c>
      <c r="C956" t="s">
        <v>1879</v>
      </c>
      <c r="D956" t="s">
        <v>106</v>
      </c>
    </row>
    <row r="957" spans="1:4" x14ac:dyDescent="0.25">
      <c r="A957" t="s">
        <v>1880</v>
      </c>
      <c r="B957" t="s">
        <v>1454</v>
      </c>
      <c r="C957" t="s">
        <v>1881</v>
      </c>
      <c r="D957" t="s">
        <v>106</v>
      </c>
    </row>
    <row r="958" spans="1:4" x14ac:dyDescent="0.25">
      <c r="A958" t="s">
        <v>1882</v>
      </c>
      <c r="B958" t="s">
        <v>1454</v>
      </c>
      <c r="C958" t="s">
        <v>1883</v>
      </c>
      <c r="D958" t="s">
        <v>16</v>
      </c>
    </row>
    <row r="959" spans="1:4" x14ac:dyDescent="0.25">
      <c r="A959" t="s">
        <v>1884</v>
      </c>
      <c r="B959" t="s">
        <v>1454</v>
      </c>
      <c r="C959" t="s">
        <v>1885</v>
      </c>
      <c r="D959" t="s">
        <v>1886</v>
      </c>
    </row>
    <row r="960" spans="1:4" x14ac:dyDescent="0.25">
      <c r="A960" t="s">
        <v>1887</v>
      </c>
      <c r="B960" t="s">
        <v>1454</v>
      </c>
      <c r="C960" t="s">
        <v>1888</v>
      </c>
      <c r="D960" t="s">
        <v>1886</v>
      </c>
    </row>
    <row r="961" spans="1:4" x14ac:dyDescent="0.25">
      <c r="A961" t="s">
        <v>1889</v>
      </c>
      <c r="B961" t="s">
        <v>1454</v>
      </c>
      <c r="C961" t="s">
        <v>1890</v>
      </c>
      <c r="D961" t="s">
        <v>106</v>
      </c>
    </row>
    <row r="962" spans="1:4" x14ac:dyDescent="0.25">
      <c r="A962" t="s">
        <v>1891</v>
      </c>
      <c r="B962" t="s">
        <v>1454</v>
      </c>
      <c r="C962" t="s">
        <v>1892</v>
      </c>
      <c r="D962" t="s">
        <v>106</v>
      </c>
    </row>
    <row r="963" spans="1:4" x14ac:dyDescent="0.25">
      <c r="A963" t="s">
        <v>1893</v>
      </c>
      <c r="B963" t="s">
        <v>1454</v>
      </c>
      <c r="C963" t="s">
        <v>1894</v>
      </c>
      <c r="D963" t="s">
        <v>106</v>
      </c>
    </row>
    <row r="964" spans="1:4" x14ac:dyDescent="0.25">
      <c r="A964" t="s">
        <v>1895</v>
      </c>
      <c r="B964" t="s">
        <v>1454</v>
      </c>
      <c r="C964" t="s">
        <v>1896</v>
      </c>
      <c r="D964" t="s">
        <v>106</v>
      </c>
    </row>
    <row r="965" spans="1:4" x14ac:dyDescent="0.25">
      <c r="A965" t="s">
        <v>1897</v>
      </c>
      <c r="B965" t="s">
        <v>1454</v>
      </c>
      <c r="C965" t="s">
        <v>1898</v>
      </c>
      <c r="D965" t="s">
        <v>106</v>
      </c>
    </row>
    <row r="966" spans="1:4" x14ac:dyDescent="0.25">
      <c r="A966" t="s">
        <v>1899</v>
      </c>
      <c r="B966" t="s">
        <v>1454</v>
      </c>
      <c r="C966" t="s">
        <v>1900</v>
      </c>
      <c r="D966" t="s">
        <v>7</v>
      </c>
    </row>
    <row r="967" spans="1:4" x14ac:dyDescent="0.25">
      <c r="A967" t="s">
        <v>1901</v>
      </c>
      <c r="B967" t="s">
        <v>1454</v>
      </c>
      <c r="C967" t="s">
        <v>1902</v>
      </c>
      <c r="D967" t="s">
        <v>106</v>
      </c>
    </row>
    <row r="968" spans="1:4" x14ac:dyDescent="0.25">
      <c r="A968" t="s">
        <v>1903</v>
      </c>
      <c r="B968" t="s">
        <v>1454</v>
      </c>
      <c r="C968" t="s">
        <v>1904</v>
      </c>
      <c r="D968" t="s">
        <v>106</v>
      </c>
    </row>
    <row r="969" spans="1:4" x14ac:dyDescent="0.25">
      <c r="A969" t="s">
        <v>1905</v>
      </c>
      <c r="B969" t="s">
        <v>1454</v>
      </c>
      <c r="C969" t="s">
        <v>1906</v>
      </c>
      <c r="D969" t="s">
        <v>106</v>
      </c>
    </row>
    <row r="970" spans="1:4" x14ac:dyDescent="0.25">
      <c r="A970" t="s">
        <v>1907</v>
      </c>
      <c r="B970" t="s">
        <v>1454</v>
      </c>
      <c r="C970" t="s">
        <v>1908</v>
      </c>
      <c r="D970" t="s">
        <v>106</v>
      </c>
    </row>
    <row r="971" spans="1:4" x14ac:dyDescent="0.25">
      <c r="A971" t="s">
        <v>1909</v>
      </c>
      <c r="B971" t="s">
        <v>1454</v>
      </c>
      <c r="C971" t="s">
        <v>1910</v>
      </c>
      <c r="D971" t="s">
        <v>106</v>
      </c>
    </row>
    <row r="972" spans="1:4" x14ac:dyDescent="0.25">
      <c r="A972" t="s">
        <v>1911</v>
      </c>
      <c r="B972" t="s">
        <v>1454</v>
      </c>
      <c r="C972" t="s">
        <v>1912</v>
      </c>
      <c r="D972" t="s">
        <v>106</v>
      </c>
    </row>
    <row r="973" spans="1:4" x14ac:dyDescent="0.25">
      <c r="A973" t="s">
        <v>1913</v>
      </c>
      <c r="B973" t="s">
        <v>1454</v>
      </c>
      <c r="C973" t="s">
        <v>1914</v>
      </c>
      <c r="D973" t="s">
        <v>106</v>
      </c>
    </row>
    <row r="974" spans="1:4" x14ac:dyDescent="0.25">
      <c r="A974" t="s">
        <v>1915</v>
      </c>
      <c r="B974" t="s">
        <v>1454</v>
      </c>
      <c r="C974" t="s">
        <v>1916</v>
      </c>
      <c r="D974" t="s">
        <v>106</v>
      </c>
    </row>
    <row r="975" spans="1:4" x14ac:dyDescent="0.25">
      <c r="A975" t="s">
        <v>1917</v>
      </c>
      <c r="B975" t="s">
        <v>1454</v>
      </c>
      <c r="C975" t="s">
        <v>1918</v>
      </c>
      <c r="D975" t="s">
        <v>106</v>
      </c>
    </row>
    <row r="976" spans="1:4" x14ac:dyDescent="0.25">
      <c r="A976" t="s">
        <v>1919</v>
      </c>
      <c r="B976" t="s">
        <v>1454</v>
      </c>
      <c r="C976" t="s">
        <v>1920</v>
      </c>
      <c r="D976" t="s">
        <v>106</v>
      </c>
    </row>
    <row r="977" spans="1:4" x14ac:dyDescent="0.25">
      <c r="A977" t="s">
        <v>1921</v>
      </c>
      <c r="B977" t="s">
        <v>1454</v>
      </c>
      <c r="C977" t="s">
        <v>1922</v>
      </c>
      <c r="D977" t="s">
        <v>106</v>
      </c>
    </row>
    <row r="978" spans="1:4" x14ac:dyDescent="0.25">
      <c r="A978" t="s">
        <v>1923</v>
      </c>
      <c r="B978" t="s">
        <v>1454</v>
      </c>
      <c r="C978" t="s">
        <v>1924</v>
      </c>
      <c r="D978" t="s">
        <v>106</v>
      </c>
    </row>
    <row r="979" spans="1:4" x14ac:dyDescent="0.25">
      <c r="A979" t="s">
        <v>1925</v>
      </c>
      <c r="B979" t="s">
        <v>1454</v>
      </c>
      <c r="C979" t="s">
        <v>1926</v>
      </c>
      <c r="D979" t="s">
        <v>106</v>
      </c>
    </row>
    <row r="980" spans="1:4" x14ac:dyDescent="0.25">
      <c r="A980" t="s">
        <v>1927</v>
      </c>
      <c r="B980" t="s">
        <v>1454</v>
      </c>
      <c r="C980" t="s">
        <v>1928</v>
      </c>
      <c r="D980" t="s">
        <v>106</v>
      </c>
    </row>
    <row r="981" spans="1:4" x14ac:dyDescent="0.25">
      <c r="A981" t="s">
        <v>1929</v>
      </c>
      <c r="B981" t="s">
        <v>1454</v>
      </c>
      <c r="C981" t="s">
        <v>1779</v>
      </c>
      <c r="D981" t="s">
        <v>106</v>
      </c>
    </row>
    <row r="982" spans="1:4" x14ac:dyDescent="0.25">
      <c r="A982" t="s">
        <v>1930</v>
      </c>
      <c r="B982" t="s">
        <v>1454</v>
      </c>
      <c r="C982" t="s">
        <v>1931</v>
      </c>
      <c r="D982" t="s">
        <v>106</v>
      </c>
    </row>
    <row r="983" spans="1:4" x14ac:dyDescent="0.25">
      <c r="A983" t="s">
        <v>1932</v>
      </c>
      <c r="B983" t="s">
        <v>1454</v>
      </c>
      <c r="C983" t="s">
        <v>1933</v>
      </c>
      <c r="D983" t="s">
        <v>106</v>
      </c>
    </row>
    <row r="984" spans="1:4" x14ac:dyDescent="0.25">
      <c r="A984" t="s">
        <v>1934</v>
      </c>
      <c r="B984" t="s">
        <v>1454</v>
      </c>
      <c r="C984" t="s">
        <v>1935</v>
      </c>
      <c r="D984" t="s">
        <v>106</v>
      </c>
    </row>
    <row r="985" spans="1:4" x14ac:dyDescent="0.25">
      <c r="A985" t="s">
        <v>1936</v>
      </c>
      <c r="B985" t="s">
        <v>1454</v>
      </c>
      <c r="C985" t="s">
        <v>1937</v>
      </c>
      <c r="D985" t="s">
        <v>106</v>
      </c>
    </row>
    <row r="986" spans="1:4" x14ac:dyDescent="0.25">
      <c r="A986" t="s">
        <v>1938</v>
      </c>
      <c r="B986" t="s">
        <v>1454</v>
      </c>
      <c r="C986" t="s">
        <v>1939</v>
      </c>
      <c r="D986" t="s">
        <v>106</v>
      </c>
    </row>
    <row r="987" spans="1:4" x14ac:dyDescent="0.25">
      <c r="A987" t="s">
        <v>1940</v>
      </c>
      <c r="B987" t="s">
        <v>1454</v>
      </c>
      <c r="C987" t="s">
        <v>1941</v>
      </c>
      <c r="D987" t="s">
        <v>106</v>
      </c>
    </row>
    <row r="988" spans="1:4" x14ac:dyDescent="0.25">
      <c r="A988" t="s">
        <v>1942</v>
      </c>
      <c r="B988" t="s">
        <v>1454</v>
      </c>
      <c r="C988" t="s">
        <v>1943</v>
      </c>
      <c r="D988" t="s">
        <v>16</v>
      </c>
    </row>
    <row r="989" spans="1:4" x14ac:dyDescent="0.25">
      <c r="A989" t="s">
        <v>1944</v>
      </c>
      <c r="B989" t="s">
        <v>1454</v>
      </c>
      <c r="C989" t="s">
        <v>1945</v>
      </c>
      <c r="D989" t="s">
        <v>106</v>
      </c>
    </row>
    <row r="990" spans="1:4" x14ac:dyDescent="0.25">
      <c r="A990" t="s">
        <v>1946</v>
      </c>
      <c r="B990" t="s">
        <v>1454</v>
      </c>
      <c r="C990" t="s">
        <v>1947</v>
      </c>
      <c r="D990" t="s">
        <v>106</v>
      </c>
    </row>
    <row r="991" spans="1:4" x14ac:dyDescent="0.25">
      <c r="A991" t="s">
        <v>1948</v>
      </c>
      <c r="B991" t="s">
        <v>1454</v>
      </c>
      <c r="C991" t="s">
        <v>1949</v>
      </c>
      <c r="D991" t="s">
        <v>106</v>
      </c>
    </row>
    <row r="992" spans="1:4" x14ac:dyDescent="0.25">
      <c r="A992" t="s">
        <v>1950</v>
      </c>
      <c r="B992" t="s">
        <v>1454</v>
      </c>
      <c r="C992" t="s">
        <v>1951</v>
      </c>
      <c r="D992" t="s">
        <v>106</v>
      </c>
    </row>
    <row r="993" spans="1:4" x14ac:dyDescent="0.25">
      <c r="A993" t="s">
        <v>1952</v>
      </c>
      <c r="B993" t="s">
        <v>1454</v>
      </c>
      <c r="C993" t="s">
        <v>1953</v>
      </c>
      <c r="D993" t="s">
        <v>16</v>
      </c>
    </row>
    <row r="994" spans="1:4" x14ac:dyDescent="0.25">
      <c r="A994" t="s">
        <v>1954</v>
      </c>
      <c r="B994" t="s">
        <v>1454</v>
      </c>
      <c r="C994" t="s">
        <v>1955</v>
      </c>
      <c r="D994" t="s">
        <v>106</v>
      </c>
    </row>
    <row r="995" spans="1:4" x14ac:dyDescent="0.25">
      <c r="A995" t="s">
        <v>1956</v>
      </c>
      <c r="B995" t="s">
        <v>1454</v>
      </c>
      <c r="C995" t="s">
        <v>1957</v>
      </c>
      <c r="D995" t="s">
        <v>106</v>
      </c>
    </row>
    <row r="996" spans="1:4" x14ac:dyDescent="0.25">
      <c r="A996" t="s">
        <v>1958</v>
      </c>
      <c r="B996" t="s">
        <v>1454</v>
      </c>
      <c r="C996" t="s">
        <v>1959</v>
      </c>
      <c r="D996" t="s">
        <v>16</v>
      </c>
    </row>
    <row r="997" spans="1:4" x14ac:dyDescent="0.25">
      <c r="A997" t="s">
        <v>1960</v>
      </c>
      <c r="B997" t="s">
        <v>1454</v>
      </c>
      <c r="C997" t="s">
        <v>1961</v>
      </c>
      <c r="D997" t="s">
        <v>16</v>
      </c>
    </row>
    <row r="998" spans="1:4" x14ac:dyDescent="0.25">
      <c r="A998" t="s">
        <v>1962</v>
      </c>
      <c r="B998" t="s">
        <v>1454</v>
      </c>
      <c r="C998" t="s">
        <v>1963</v>
      </c>
      <c r="D998" t="s">
        <v>16</v>
      </c>
    </row>
    <row r="999" spans="1:4" x14ac:dyDescent="0.25">
      <c r="A999" t="s">
        <v>1964</v>
      </c>
      <c r="B999" t="s">
        <v>1454</v>
      </c>
      <c r="C999" t="s">
        <v>1965</v>
      </c>
      <c r="D999" t="s">
        <v>16</v>
      </c>
    </row>
    <row r="1000" spans="1:4" x14ac:dyDescent="0.25">
      <c r="A1000" t="s">
        <v>1966</v>
      </c>
      <c r="B1000" t="s">
        <v>1454</v>
      </c>
      <c r="C1000" t="s">
        <v>1967</v>
      </c>
      <c r="D1000" t="s">
        <v>16</v>
      </c>
    </row>
    <row r="1001" spans="1:4" x14ac:dyDescent="0.25">
      <c r="A1001" t="s">
        <v>1968</v>
      </c>
      <c r="B1001" t="s">
        <v>1454</v>
      </c>
      <c r="C1001" t="s">
        <v>1969</v>
      </c>
      <c r="D1001" t="s">
        <v>16</v>
      </c>
    </row>
    <row r="1002" spans="1:4" x14ac:dyDescent="0.25">
      <c r="A1002" t="s">
        <v>1970</v>
      </c>
      <c r="B1002" t="s">
        <v>1454</v>
      </c>
      <c r="C1002" t="s">
        <v>1971</v>
      </c>
      <c r="D1002" t="s">
        <v>16</v>
      </c>
    </row>
    <row r="1003" spans="1:4" x14ac:dyDescent="0.25">
      <c r="A1003" t="s">
        <v>1972</v>
      </c>
      <c r="B1003" t="s">
        <v>1454</v>
      </c>
      <c r="C1003" t="s">
        <v>1973</v>
      </c>
      <c r="D1003" t="s">
        <v>16</v>
      </c>
    </row>
    <row r="1004" spans="1:4" x14ac:dyDescent="0.25">
      <c r="A1004" t="s">
        <v>1974</v>
      </c>
      <c r="B1004" t="s">
        <v>1454</v>
      </c>
      <c r="C1004" t="s">
        <v>1975</v>
      </c>
      <c r="D1004" t="s">
        <v>16</v>
      </c>
    </row>
    <row r="1005" spans="1:4" x14ac:dyDescent="0.25">
      <c r="A1005" t="s">
        <v>1976</v>
      </c>
      <c r="B1005" t="s">
        <v>1454</v>
      </c>
      <c r="C1005" t="s">
        <v>1977</v>
      </c>
      <c r="D1005" t="s">
        <v>16</v>
      </c>
    </row>
    <row r="1006" spans="1:4" x14ac:dyDescent="0.25">
      <c r="A1006" t="s">
        <v>1978</v>
      </c>
      <c r="B1006" t="s">
        <v>1454</v>
      </c>
      <c r="C1006" t="s">
        <v>1979</v>
      </c>
      <c r="D1006" t="s">
        <v>16</v>
      </c>
    </row>
    <row r="1007" spans="1:4" x14ac:dyDescent="0.25">
      <c r="A1007" t="s">
        <v>1980</v>
      </c>
      <c r="B1007" t="s">
        <v>1454</v>
      </c>
      <c r="C1007" t="s">
        <v>1981</v>
      </c>
      <c r="D1007" t="s">
        <v>16</v>
      </c>
    </row>
    <row r="1008" spans="1:4" x14ac:dyDescent="0.25">
      <c r="A1008" t="s">
        <v>1982</v>
      </c>
      <c r="B1008" t="s">
        <v>1454</v>
      </c>
      <c r="C1008" t="s">
        <v>1983</v>
      </c>
      <c r="D1008" t="s">
        <v>16</v>
      </c>
    </row>
    <row r="1009" spans="1:4" x14ac:dyDescent="0.25">
      <c r="A1009" t="s">
        <v>1984</v>
      </c>
      <c r="B1009" t="s">
        <v>1454</v>
      </c>
      <c r="C1009" t="s">
        <v>1985</v>
      </c>
      <c r="D1009" t="s">
        <v>16</v>
      </c>
    </row>
    <row r="1010" spans="1:4" x14ac:dyDescent="0.25">
      <c r="A1010" t="s">
        <v>1986</v>
      </c>
      <c r="B1010" t="s">
        <v>1454</v>
      </c>
      <c r="C1010" t="s">
        <v>1987</v>
      </c>
      <c r="D1010" t="s">
        <v>16</v>
      </c>
    </row>
    <row r="1011" spans="1:4" x14ac:dyDescent="0.25">
      <c r="A1011" t="s">
        <v>1988</v>
      </c>
      <c r="B1011" t="s">
        <v>1454</v>
      </c>
      <c r="C1011" t="s">
        <v>1989</v>
      </c>
      <c r="D1011" t="s">
        <v>16</v>
      </c>
    </row>
    <row r="1012" spans="1:4" x14ac:dyDescent="0.25">
      <c r="A1012" t="s">
        <v>1990</v>
      </c>
      <c r="B1012" t="s">
        <v>1454</v>
      </c>
      <c r="C1012" t="s">
        <v>1991</v>
      </c>
      <c r="D1012" t="s">
        <v>16</v>
      </c>
    </row>
    <row r="1013" spans="1:4" x14ac:dyDescent="0.25">
      <c r="A1013" t="s">
        <v>1992</v>
      </c>
      <c r="B1013" t="s">
        <v>1454</v>
      </c>
      <c r="C1013" t="s">
        <v>1993</v>
      </c>
      <c r="D1013" t="s">
        <v>106</v>
      </c>
    </row>
    <row r="1014" spans="1:4" x14ac:dyDescent="0.25">
      <c r="A1014" t="s">
        <v>1994</v>
      </c>
      <c r="B1014" t="s">
        <v>1454</v>
      </c>
      <c r="C1014" t="s">
        <v>1995</v>
      </c>
      <c r="D1014" t="s">
        <v>16</v>
      </c>
    </row>
    <row r="1015" spans="1:4" x14ac:dyDescent="0.25">
      <c r="A1015" t="s">
        <v>1996</v>
      </c>
      <c r="B1015" t="s">
        <v>1454</v>
      </c>
      <c r="C1015" t="s">
        <v>1997</v>
      </c>
      <c r="D1015" t="s">
        <v>16</v>
      </c>
    </row>
    <row r="1016" spans="1:4" x14ac:dyDescent="0.25">
      <c r="A1016" t="s">
        <v>1998</v>
      </c>
      <c r="B1016" t="s">
        <v>1454</v>
      </c>
      <c r="C1016" t="s">
        <v>1999</v>
      </c>
      <c r="D1016" t="s">
        <v>16</v>
      </c>
    </row>
    <row r="1017" spans="1:4" x14ac:dyDescent="0.25">
      <c r="A1017" t="s">
        <v>2000</v>
      </c>
      <c r="B1017" t="s">
        <v>1454</v>
      </c>
      <c r="C1017" t="s">
        <v>2001</v>
      </c>
      <c r="D1017" t="s">
        <v>16</v>
      </c>
    </row>
    <row r="1018" spans="1:4" x14ac:dyDescent="0.25">
      <c r="A1018" t="s">
        <v>2002</v>
      </c>
      <c r="B1018" t="s">
        <v>1454</v>
      </c>
      <c r="C1018" t="s">
        <v>2003</v>
      </c>
      <c r="D1018" t="s">
        <v>16</v>
      </c>
    </row>
    <row r="1019" spans="1:4" x14ac:dyDescent="0.25">
      <c r="A1019" t="s">
        <v>2004</v>
      </c>
      <c r="B1019" t="s">
        <v>1454</v>
      </c>
      <c r="C1019" t="s">
        <v>2005</v>
      </c>
      <c r="D1019" t="s">
        <v>16</v>
      </c>
    </row>
    <row r="1020" spans="1:4" x14ac:dyDescent="0.25">
      <c r="A1020" t="s">
        <v>2006</v>
      </c>
      <c r="B1020" t="s">
        <v>1454</v>
      </c>
      <c r="C1020" t="s">
        <v>2007</v>
      </c>
      <c r="D1020" t="s">
        <v>16</v>
      </c>
    </row>
    <row r="1021" spans="1:4" x14ac:dyDescent="0.25">
      <c r="A1021" t="s">
        <v>2008</v>
      </c>
      <c r="B1021" t="s">
        <v>1454</v>
      </c>
      <c r="C1021" t="s">
        <v>2009</v>
      </c>
      <c r="D1021" t="s">
        <v>16</v>
      </c>
    </row>
    <row r="1022" spans="1:4" x14ac:dyDescent="0.25">
      <c r="A1022" t="s">
        <v>2010</v>
      </c>
      <c r="B1022" t="s">
        <v>1454</v>
      </c>
      <c r="C1022" t="s">
        <v>2011</v>
      </c>
      <c r="D1022" t="s">
        <v>16</v>
      </c>
    </row>
    <row r="1023" spans="1:4" x14ac:dyDescent="0.25">
      <c r="A1023" t="s">
        <v>2012</v>
      </c>
      <c r="B1023" t="s">
        <v>1454</v>
      </c>
      <c r="C1023" t="s">
        <v>2013</v>
      </c>
      <c r="D1023" t="s">
        <v>16</v>
      </c>
    </row>
    <row r="1024" spans="1:4" x14ac:dyDescent="0.25">
      <c r="A1024" t="s">
        <v>2014</v>
      </c>
      <c r="B1024" t="s">
        <v>1454</v>
      </c>
      <c r="C1024" t="s">
        <v>2015</v>
      </c>
      <c r="D1024" t="s">
        <v>16</v>
      </c>
    </row>
    <row r="1025" spans="1:4" x14ac:dyDescent="0.25">
      <c r="A1025" t="s">
        <v>2016</v>
      </c>
      <c r="B1025" t="s">
        <v>1454</v>
      </c>
      <c r="C1025" t="s">
        <v>2017</v>
      </c>
      <c r="D1025" t="s">
        <v>16</v>
      </c>
    </row>
    <row r="1026" spans="1:4" x14ac:dyDescent="0.25">
      <c r="A1026" t="s">
        <v>2018</v>
      </c>
      <c r="B1026" t="s">
        <v>1454</v>
      </c>
      <c r="C1026" t="s">
        <v>2019</v>
      </c>
      <c r="D1026" t="s">
        <v>16</v>
      </c>
    </row>
    <row r="1027" spans="1:4" x14ac:dyDescent="0.25">
      <c r="A1027" t="s">
        <v>2020</v>
      </c>
      <c r="B1027" t="s">
        <v>1454</v>
      </c>
      <c r="C1027" t="s">
        <v>2021</v>
      </c>
      <c r="D1027" t="s">
        <v>16</v>
      </c>
    </row>
    <row r="1028" spans="1:4" x14ac:dyDescent="0.25">
      <c r="A1028" t="s">
        <v>2022</v>
      </c>
      <c r="B1028" t="s">
        <v>1454</v>
      </c>
      <c r="C1028" t="s">
        <v>2023</v>
      </c>
      <c r="D1028" t="s">
        <v>106</v>
      </c>
    </row>
    <row r="1029" spans="1:4" x14ac:dyDescent="0.25">
      <c r="A1029" t="s">
        <v>2024</v>
      </c>
      <c r="B1029" t="s">
        <v>1454</v>
      </c>
      <c r="C1029" t="s">
        <v>2025</v>
      </c>
      <c r="D1029" t="s">
        <v>7</v>
      </c>
    </row>
    <row r="1030" spans="1:4" x14ac:dyDescent="0.25">
      <c r="A1030" t="s">
        <v>2026</v>
      </c>
      <c r="B1030" t="s">
        <v>1454</v>
      </c>
      <c r="C1030" t="s">
        <v>2027</v>
      </c>
      <c r="D1030" t="s">
        <v>7</v>
      </c>
    </row>
    <row r="1031" spans="1:4" x14ac:dyDescent="0.25">
      <c r="A1031" t="s">
        <v>2028</v>
      </c>
      <c r="B1031" t="s">
        <v>1454</v>
      </c>
      <c r="C1031" t="s">
        <v>2029</v>
      </c>
      <c r="D1031" t="s">
        <v>7</v>
      </c>
    </row>
    <row r="1032" spans="1:4" x14ac:dyDescent="0.25">
      <c r="A1032" t="s">
        <v>2030</v>
      </c>
      <c r="B1032" t="s">
        <v>1454</v>
      </c>
      <c r="C1032" t="s">
        <v>2031</v>
      </c>
      <c r="D1032" t="s">
        <v>7</v>
      </c>
    </row>
    <row r="1033" spans="1:4" x14ac:dyDescent="0.25">
      <c r="A1033" t="s">
        <v>2032</v>
      </c>
      <c r="B1033" t="s">
        <v>1454</v>
      </c>
      <c r="C1033" t="s">
        <v>2033</v>
      </c>
      <c r="D1033" t="s">
        <v>7</v>
      </c>
    </row>
    <row r="1034" spans="1:4" x14ac:dyDescent="0.25">
      <c r="A1034" t="s">
        <v>2034</v>
      </c>
      <c r="B1034" t="s">
        <v>1454</v>
      </c>
      <c r="C1034" t="s">
        <v>2035</v>
      </c>
      <c r="D1034" t="s">
        <v>7</v>
      </c>
    </row>
    <row r="1035" spans="1:4" x14ac:dyDescent="0.25">
      <c r="A1035" t="s">
        <v>2036</v>
      </c>
      <c r="B1035" t="s">
        <v>1454</v>
      </c>
      <c r="C1035" t="s">
        <v>2037</v>
      </c>
      <c r="D1035" t="s">
        <v>7</v>
      </c>
    </row>
    <row r="1036" spans="1:4" x14ac:dyDescent="0.25">
      <c r="A1036" t="s">
        <v>2038</v>
      </c>
      <c r="B1036" t="s">
        <v>1454</v>
      </c>
      <c r="C1036" t="s">
        <v>2039</v>
      </c>
      <c r="D1036" t="s">
        <v>7</v>
      </c>
    </row>
    <row r="1037" spans="1:4" x14ac:dyDescent="0.25">
      <c r="A1037" t="s">
        <v>2040</v>
      </c>
      <c r="B1037" t="s">
        <v>1454</v>
      </c>
      <c r="C1037" t="s">
        <v>2041</v>
      </c>
      <c r="D1037" t="s">
        <v>7</v>
      </c>
    </row>
    <row r="1038" spans="1:4" x14ac:dyDescent="0.25">
      <c r="A1038" t="s">
        <v>2042</v>
      </c>
      <c r="B1038" t="s">
        <v>1454</v>
      </c>
      <c r="C1038" t="s">
        <v>2043</v>
      </c>
      <c r="D1038" t="s">
        <v>7</v>
      </c>
    </row>
    <row r="1039" spans="1:4" x14ac:dyDescent="0.25">
      <c r="A1039" t="s">
        <v>2044</v>
      </c>
      <c r="B1039" t="s">
        <v>1454</v>
      </c>
      <c r="C1039" t="s">
        <v>2045</v>
      </c>
      <c r="D1039" t="s">
        <v>7</v>
      </c>
    </row>
    <row r="1040" spans="1:4" x14ac:dyDescent="0.25">
      <c r="A1040" t="s">
        <v>2046</v>
      </c>
      <c r="B1040" t="s">
        <v>1454</v>
      </c>
      <c r="C1040" t="s">
        <v>2047</v>
      </c>
      <c r="D1040" t="s">
        <v>7</v>
      </c>
    </row>
    <row r="1041" spans="1:4" x14ac:dyDescent="0.25">
      <c r="A1041" t="s">
        <v>2048</v>
      </c>
      <c r="B1041" t="s">
        <v>1454</v>
      </c>
      <c r="C1041" t="s">
        <v>2049</v>
      </c>
      <c r="D1041" t="s">
        <v>7</v>
      </c>
    </row>
    <row r="1042" spans="1:4" x14ac:dyDescent="0.25">
      <c r="A1042" t="s">
        <v>2050</v>
      </c>
      <c r="B1042" t="s">
        <v>1454</v>
      </c>
      <c r="C1042" t="s">
        <v>2051</v>
      </c>
      <c r="D1042" t="s">
        <v>7</v>
      </c>
    </row>
    <row r="1043" spans="1:4" x14ac:dyDescent="0.25">
      <c r="A1043" t="s">
        <v>2052</v>
      </c>
      <c r="B1043" t="s">
        <v>1454</v>
      </c>
      <c r="C1043" t="s">
        <v>2053</v>
      </c>
      <c r="D1043" t="s">
        <v>7</v>
      </c>
    </row>
    <row r="1044" spans="1:4" x14ac:dyDescent="0.25">
      <c r="A1044" t="s">
        <v>2054</v>
      </c>
      <c r="B1044" t="s">
        <v>1454</v>
      </c>
      <c r="C1044" t="s">
        <v>2055</v>
      </c>
      <c r="D1044" t="s">
        <v>8</v>
      </c>
    </row>
    <row r="1045" spans="1:4" x14ac:dyDescent="0.25">
      <c r="A1045" t="s">
        <v>2056</v>
      </c>
      <c r="B1045" t="s">
        <v>1454</v>
      </c>
      <c r="C1045" t="s">
        <v>2057</v>
      </c>
      <c r="D1045" t="s">
        <v>7</v>
      </c>
    </row>
    <row r="1046" spans="1:4" x14ac:dyDescent="0.25">
      <c r="A1046" t="s">
        <v>2058</v>
      </c>
      <c r="B1046" t="s">
        <v>1454</v>
      </c>
      <c r="C1046" t="s">
        <v>2059</v>
      </c>
      <c r="D1046" t="s">
        <v>7</v>
      </c>
    </row>
    <row r="1047" spans="1:4" x14ac:dyDescent="0.25">
      <c r="A1047" t="s">
        <v>2060</v>
      </c>
      <c r="B1047" t="s">
        <v>1454</v>
      </c>
      <c r="C1047" t="s">
        <v>2061</v>
      </c>
      <c r="D1047" t="s">
        <v>7</v>
      </c>
    </row>
    <row r="1048" spans="1:4" x14ac:dyDescent="0.25">
      <c r="A1048" t="s">
        <v>2062</v>
      </c>
      <c r="B1048" t="s">
        <v>1454</v>
      </c>
      <c r="C1048" t="s">
        <v>2063</v>
      </c>
      <c r="D1048" t="s">
        <v>7</v>
      </c>
    </row>
    <row r="1049" spans="1:4" x14ac:dyDescent="0.25">
      <c r="A1049" t="s">
        <v>2064</v>
      </c>
      <c r="B1049" t="s">
        <v>1454</v>
      </c>
      <c r="C1049" t="s">
        <v>2065</v>
      </c>
      <c r="D1049" t="s">
        <v>7</v>
      </c>
    </row>
    <row r="1050" spans="1:4" x14ac:dyDescent="0.25">
      <c r="A1050" t="s">
        <v>2066</v>
      </c>
      <c r="B1050" t="s">
        <v>1454</v>
      </c>
      <c r="C1050" t="s">
        <v>2067</v>
      </c>
      <c r="D1050" t="s">
        <v>7</v>
      </c>
    </row>
    <row r="1051" spans="1:4" x14ac:dyDescent="0.25">
      <c r="A1051" t="s">
        <v>2068</v>
      </c>
      <c r="B1051" t="s">
        <v>1454</v>
      </c>
      <c r="C1051" t="s">
        <v>2069</v>
      </c>
      <c r="D1051" t="s">
        <v>7</v>
      </c>
    </row>
    <row r="1052" spans="1:4" x14ac:dyDescent="0.25">
      <c r="A1052" t="s">
        <v>2070</v>
      </c>
      <c r="B1052" t="s">
        <v>1454</v>
      </c>
      <c r="C1052" t="s">
        <v>2071</v>
      </c>
      <c r="D1052" t="s">
        <v>7</v>
      </c>
    </row>
    <row r="1053" spans="1:4" x14ac:dyDescent="0.25">
      <c r="A1053" t="s">
        <v>2072</v>
      </c>
      <c r="B1053" t="s">
        <v>1454</v>
      </c>
      <c r="C1053" t="s">
        <v>2073</v>
      </c>
      <c r="D1053" t="s">
        <v>7</v>
      </c>
    </row>
    <row r="1054" spans="1:4" x14ac:dyDescent="0.25">
      <c r="A1054" t="s">
        <v>2074</v>
      </c>
      <c r="B1054" t="s">
        <v>1454</v>
      </c>
      <c r="C1054" t="s">
        <v>2075</v>
      </c>
      <c r="D1054" t="s">
        <v>7</v>
      </c>
    </row>
    <row r="1055" spans="1:4" x14ac:dyDescent="0.25">
      <c r="A1055" t="s">
        <v>2076</v>
      </c>
      <c r="B1055" t="s">
        <v>1454</v>
      </c>
      <c r="C1055" t="s">
        <v>2077</v>
      </c>
      <c r="D1055" t="s">
        <v>7</v>
      </c>
    </row>
    <row r="1056" spans="1:4" x14ac:dyDescent="0.25">
      <c r="A1056" t="s">
        <v>2078</v>
      </c>
      <c r="B1056" t="s">
        <v>1454</v>
      </c>
      <c r="C1056" t="s">
        <v>2079</v>
      </c>
      <c r="D1056" t="s">
        <v>7</v>
      </c>
    </row>
    <row r="1057" spans="1:4" x14ac:dyDescent="0.25">
      <c r="A1057" t="s">
        <v>2080</v>
      </c>
      <c r="B1057" t="s">
        <v>1454</v>
      </c>
      <c r="C1057" t="s">
        <v>2081</v>
      </c>
      <c r="D1057" t="s">
        <v>7</v>
      </c>
    </row>
    <row r="1058" spans="1:4" x14ac:dyDescent="0.25">
      <c r="A1058" t="s">
        <v>2082</v>
      </c>
      <c r="B1058" t="s">
        <v>1454</v>
      </c>
      <c r="C1058" t="s">
        <v>2083</v>
      </c>
      <c r="D1058" t="s">
        <v>7</v>
      </c>
    </row>
    <row r="1059" spans="1:4" x14ac:dyDescent="0.25">
      <c r="A1059" t="s">
        <v>2084</v>
      </c>
      <c r="B1059" t="s">
        <v>1454</v>
      </c>
      <c r="C1059" t="s">
        <v>2085</v>
      </c>
      <c r="D1059" t="s">
        <v>7</v>
      </c>
    </row>
    <row r="1060" spans="1:4" x14ac:dyDescent="0.25">
      <c r="A1060" t="s">
        <v>2086</v>
      </c>
      <c r="B1060" t="s">
        <v>1454</v>
      </c>
      <c r="C1060" t="s">
        <v>2087</v>
      </c>
      <c r="D1060" t="s">
        <v>7</v>
      </c>
    </row>
    <row r="1061" spans="1:4" x14ac:dyDescent="0.25">
      <c r="A1061" t="s">
        <v>2088</v>
      </c>
      <c r="B1061" t="s">
        <v>1454</v>
      </c>
      <c r="C1061" t="s">
        <v>2089</v>
      </c>
      <c r="D1061" t="s">
        <v>7</v>
      </c>
    </row>
    <row r="1062" spans="1:4" x14ac:dyDescent="0.25">
      <c r="A1062" t="s">
        <v>2090</v>
      </c>
      <c r="B1062" t="s">
        <v>1454</v>
      </c>
      <c r="C1062" t="s">
        <v>2091</v>
      </c>
      <c r="D1062" t="s">
        <v>7</v>
      </c>
    </row>
    <row r="1063" spans="1:4" x14ac:dyDescent="0.25">
      <c r="A1063" t="s">
        <v>2092</v>
      </c>
      <c r="B1063" t="s">
        <v>1454</v>
      </c>
      <c r="C1063" t="s">
        <v>2093</v>
      </c>
      <c r="D1063" t="s">
        <v>7</v>
      </c>
    </row>
    <row r="1064" spans="1:4" x14ac:dyDescent="0.25">
      <c r="A1064" t="s">
        <v>2094</v>
      </c>
      <c r="B1064" t="s">
        <v>1454</v>
      </c>
      <c r="C1064" t="s">
        <v>2095</v>
      </c>
      <c r="D1064" t="s">
        <v>7</v>
      </c>
    </row>
    <row r="1065" spans="1:4" x14ac:dyDescent="0.25">
      <c r="A1065" t="s">
        <v>2096</v>
      </c>
      <c r="B1065" t="s">
        <v>1454</v>
      </c>
      <c r="C1065" t="s">
        <v>2097</v>
      </c>
      <c r="D1065" t="s">
        <v>8</v>
      </c>
    </row>
    <row r="1066" spans="1:4" x14ac:dyDescent="0.25">
      <c r="A1066" t="s">
        <v>2098</v>
      </c>
      <c r="B1066" t="s">
        <v>1454</v>
      </c>
      <c r="C1066" t="s">
        <v>2099</v>
      </c>
      <c r="D1066" t="s">
        <v>8</v>
      </c>
    </row>
    <row r="1067" spans="1:4" x14ac:dyDescent="0.25">
      <c r="A1067" t="s">
        <v>2100</v>
      </c>
      <c r="B1067" t="s">
        <v>1454</v>
      </c>
      <c r="C1067" t="s">
        <v>2101</v>
      </c>
      <c r="D1067" t="s">
        <v>7</v>
      </c>
    </row>
    <row r="1068" spans="1:4" x14ac:dyDescent="0.25">
      <c r="A1068" t="s">
        <v>2102</v>
      </c>
      <c r="B1068" t="s">
        <v>1454</v>
      </c>
      <c r="C1068" t="s">
        <v>2103</v>
      </c>
      <c r="D1068" t="s">
        <v>7</v>
      </c>
    </row>
    <row r="1069" spans="1:4" x14ac:dyDescent="0.25">
      <c r="A1069" t="s">
        <v>2104</v>
      </c>
      <c r="B1069" t="s">
        <v>1454</v>
      </c>
      <c r="C1069" t="s">
        <v>2105</v>
      </c>
      <c r="D1069" t="s">
        <v>7</v>
      </c>
    </row>
    <row r="1070" spans="1:4" x14ac:dyDescent="0.25">
      <c r="A1070" t="s">
        <v>2106</v>
      </c>
      <c r="B1070" t="s">
        <v>1454</v>
      </c>
      <c r="C1070" t="s">
        <v>2107</v>
      </c>
      <c r="D1070" t="s">
        <v>7</v>
      </c>
    </row>
    <row r="1071" spans="1:4" x14ac:dyDescent="0.25">
      <c r="A1071" t="s">
        <v>2108</v>
      </c>
      <c r="B1071" t="s">
        <v>1454</v>
      </c>
      <c r="C1071" t="s">
        <v>2109</v>
      </c>
      <c r="D1071" t="s">
        <v>7</v>
      </c>
    </row>
    <row r="1072" spans="1:4" x14ac:dyDescent="0.25">
      <c r="A1072" t="s">
        <v>2110</v>
      </c>
      <c r="B1072" t="s">
        <v>1454</v>
      </c>
      <c r="C1072" t="s">
        <v>2111</v>
      </c>
      <c r="D1072" t="s">
        <v>7</v>
      </c>
    </row>
    <row r="1073" spans="1:4" x14ac:dyDescent="0.25">
      <c r="A1073" t="s">
        <v>2112</v>
      </c>
      <c r="B1073" t="s">
        <v>1454</v>
      </c>
      <c r="C1073" t="s">
        <v>2113</v>
      </c>
      <c r="D1073" t="s">
        <v>7</v>
      </c>
    </row>
    <row r="1074" spans="1:4" x14ac:dyDescent="0.25">
      <c r="A1074" t="s">
        <v>2114</v>
      </c>
      <c r="B1074" t="s">
        <v>1454</v>
      </c>
      <c r="C1074" t="s">
        <v>2115</v>
      </c>
      <c r="D1074" t="s">
        <v>7</v>
      </c>
    </row>
    <row r="1075" spans="1:4" x14ac:dyDescent="0.25">
      <c r="A1075" t="s">
        <v>2116</v>
      </c>
      <c r="B1075" t="s">
        <v>1454</v>
      </c>
      <c r="C1075" t="s">
        <v>2117</v>
      </c>
      <c r="D1075" t="s">
        <v>7</v>
      </c>
    </row>
    <row r="1076" spans="1:4" x14ac:dyDescent="0.25">
      <c r="A1076" t="s">
        <v>2118</v>
      </c>
      <c r="B1076" t="s">
        <v>1454</v>
      </c>
      <c r="C1076" t="s">
        <v>2119</v>
      </c>
      <c r="D1076" t="s">
        <v>7</v>
      </c>
    </row>
    <row r="1077" spans="1:4" x14ac:dyDescent="0.25">
      <c r="A1077" t="s">
        <v>2120</v>
      </c>
      <c r="B1077" t="s">
        <v>1454</v>
      </c>
      <c r="C1077" t="s">
        <v>2121</v>
      </c>
      <c r="D1077" t="s">
        <v>7</v>
      </c>
    </row>
    <row r="1078" spans="1:4" x14ac:dyDescent="0.25">
      <c r="A1078" t="s">
        <v>2122</v>
      </c>
      <c r="B1078" t="s">
        <v>1454</v>
      </c>
      <c r="C1078" t="s">
        <v>2123</v>
      </c>
      <c r="D1078" t="s">
        <v>7</v>
      </c>
    </row>
    <row r="1079" spans="1:4" x14ac:dyDescent="0.25">
      <c r="A1079" t="s">
        <v>2124</v>
      </c>
      <c r="B1079" t="s">
        <v>1454</v>
      </c>
      <c r="C1079" t="s">
        <v>2125</v>
      </c>
      <c r="D1079" t="s">
        <v>7</v>
      </c>
    </row>
    <row r="1080" spans="1:4" x14ac:dyDescent="0.25">
      <c r="A1080" t="s">
        <v>2126</v>
      </c>
      <c r="B1080" t="s">
        <v>1454</v>
      </c>
      <c r="C1080" t="s">
        <v>2127</v>
      </c>
      <c r="D1080" t="s">
        <v>7</v>
      </c>
    </row>
    <row r="1081" spans="1:4" x14ac:dyDescent="0.25">
      <c r="A1081" t="s">
        <v>2128</v>
      </c>
      <c r="B1081" t="s">
        <v>1454</v>
      </c>
      <c r="C1081" t="s">
        <v>2129</v>
      </c>
      <c r="D1081" t="s">
        <v>7</v>
      </c>
    </row>
    <row r="1082" spans="1:4" x14ac:dyDescent="0.25">
      <c r="A1082" t="s">
        <v>2130</v>
      </c>
      <c r="B1082" t="s">
        <v>1454</v>
      </c>
      <c r="C1082" t="s">
        <v>2131</v>
      </c>
      <c r="D1082" t="s">
        <v>7</v>
      </c>
    </row>
    <row r="1083" spans="1:4" x14ac:dyDescent="0.25">
      <c r="A1083" t="s">
        <v>2132</v>
      </c>
      <c r="B1083" t="s">
        <v>1454</v>
      </c>
      <c r="C1083" t="s">
        <v>2133</v>
      </c>
      <c r="D1083" t="s">
        <v>7</v>
      </c>
    </row>
    <row r="1084" spans="1:4" x14ac:dyDescent="0.25">
      <c r="A1084" t="s">
        <v>2134</v>
      </c>
      <c r="B1084" t="s">
        <v>1454</v>
      </c>
      <c r="C1084" t="s">
        <v>2135</v>
      </c>
      <c r="D1084" t="s">
        <v>7</v>
      </c>
    </row>
    <row r="1085" spans="1:4" x14ac:dyDescent="0.25">
      <c r="A1085" t="s">
        <v>2136</v>
      </c>
      <c r="B1085" t="s">
        <v>1454</v>
      </c>
      <c r="C1085" t="s">
        <v>2137</v>
      </c>
      <c r="D1085" t="s">
        <v>7</v>
      </c>
    </row>
    <row r="1086" spans="1:4" x14ac:dyDescent="0.25">
      <c r="A1086" t="s">
        <v>2138</v>
      </c>
      <c r="B1086" t="s">
        <v>1454</v>
      </c>
      <c r="C1086" t="s">
        <v>2139</v>
      </c>
      <c r="D1086" t="s">
        <v>7</v>
      </c>
    </row>
    <row r="1087" spans="1:4" x14ac:dyDescent="0.25">
      <c r="A1087" t="s">
        <v>2140</v>
      </c>
      <c r="B1087" t="s">
        <v>1454</v>
      </c>
      <c r="C1087" t="s">
        <v>2141</v>
      </c>
      <c r="D1087" t="s">
        <v>7</v>
      </c>
    </row>
    <row r="1088" spans="1:4" x14ac:dyDescent="0.25">
      <c r="A1088" t="s">
        <v>2142</v>
      </c>
      <c r="B1088" t="s">
        <v>1454</v>
      </c>
      <c r="C1088" t="s">
        <v>2143</v>
      </c>
      <c r="D1088" t="s">
        <v>7</v>
      </c>
    </row>
    <row r="1089" spans="1:4" x14ac:dyDescent="0.25">
      <c r="A1089" t="s">
        <v>2144</v>
      </c>
      <c r="B1089" t="s">
        <v>1454</v>
      </c>
      <c r="C1089" t="s">
        <v>2145</v>
      </c>
      <c r="D1089" t="s">
        <v>7</v>
      </c>
    </row>
    <row r="1090" spans="1:4" x14ac:dyDescent="0.25">
      <c r="A1090" t="s">
        <v>2146</v>
      </c>
      <c r="B1090" t="s">
        <v>1454</v>
      </c>
      <c r="C1090" t="s">
        <v>2147</v>
      </c>
      <c r="D1090" t="s">
        <v>7</v>
      </c>
    </row>
    <row r="1091" spans="1:4" x14ac:dyDescent="0.25">
      <c r="A1091" t="s">
        <v>2148</v>
      </c>
      <c r="B1091" t="s">
        <v>1454</v>
      </c>
      <c r="C1091" t="s">
        <v>2149</v>
      </c>
      <c r="D1091" t="s">
        <v>7</v>
      </c>
    </row>
    <row r="1092" spans="1:4" x14ac:dyDescent="0.25">
      <c r="A1092" t="s">
        <v>2150</v>
      </c>
      <c r="B1092" t="s">
        <v>1454</v>
      </c>
      <c r="C1092" t="s">
        <v>2151</v>
      </c>
      <c r="D1092" t="s">
        <v>7</v>
      </c>
    </row>
    <row r="1093" spans="1:4" x14ac:dyDescent="0.25">
      <c r="A1093" t="s">
        <v>2152</v>
      </c>
      <c r="B1093" t="s">
        <v>1454</v>
      </c>
      <c r="C1093" t="s">
        <v>2153</v>
      </c>
      <c r="D1093" t="s">
        <v>7</v>
      </c>
    </row>
    <row r="1094" spans="1:4" x14ac:dyDescent="0.25">
      <c r="A1094" t="s">
        <v>2154</v>
      </c>
      <c r="B1094" t="s">
        <v>1454</v>
      </c>
      <c r="C1094" t="s">
        <v>2155</v>
      </c>
      <c r="D1094" t="s">
        <v>7</v>
      </c>
    </row>
    <row r="1095" spans="1:4" x14ac:dyDescent="0.25">
      <c r="A1095" t="s">
        <v>2156</v>
      </c>
      <c r="B1095" t="s">
        <v>1454</v>
      </c>
      <c r="C1095" t="s">
        <v>2157</v>
      </c>
      <c r="D1095" t="s">
        <v>7</v>
      </c>
    </row>
    <row r="1096" spans="1:4" x14ac:dyDescent="0.25">
      <c r="A1096" t="s">
        <v>2158</v>
      </c>
      <c r="B1096" t="s">
        <v>1454</v>
      </c>
      <c r="C1096" t="s">
        <v>2159</v>
      </c>
      <c r="D1096" t="s">
        <v>7</v>
      </c>
    </row>
    <row r="1097" spans="1:4" x14ac:dyDescent="0.25">
      <c r="A1097" t="s">
        <v>2160</v>
      </c>
      <c r="B1097" t="s">
        <v>1454</v>
      </c>
      <c r="C1097" t="s">
        <v>2161</v>
      </c>
      <c r="D1097" t="s">
        <v>7</v>
      </c>
    </row>
    <row r="1098" spans="1:4" x14ac:dyDescent="0.25">
      <c r="A1098" t="s">
        <v>2162</v>
      </c>
      <c r="B1098" t="s">
        <v>1454</v>
      </c>
      <c r="C1098" t="s">
        <v>2163</v>
      </c>
      <c r="D1098" t="s">
        <v>7</v>
      </c>
    </row>
    <row r="1099" spans="1:4" x14ac:dyDescent="0.25">
      <c r="A1099" t="s">
        <v>2164</v>
      </c>
      <c r="B1099" t="s">
        <v>1454</v>
      </c>
      <c r="C1099" t="s">
        <v>2165</v>
      </c>
      <c r="D1099" t="s">
        <v>7</v>
      </c>
    </row>
    <row r="1100" spans="1:4" x14ac:dyDescent="0.25">
      <c r="A1100" t="s">
        <v>2166</v>
      </c>
      <c r="B1100" t="s">
        <v>1454</v>
      </c>
      <c r="C1100" t="s">
        <v>2167</v>
      </c>
      <c r="D1100" t="s">
        <v>7</v>
      </c>
    </row>
    <row r="1101" spans="1:4" x14ac:dyDescent="0.25">
      <c r="A1101" t="s">
        <v>2168</v>
      </c>
      <c r="B1101" t="s">
        <v>1454</v>
      </c>
      <c r="C1101" t="s">
        <v>2169</v>
      </c>
      <c r="D1101" t="s">
        <v>7</v>
      </c>
    </row>
    <row r="1102" spans="1:4" x14ac:dyDescent="0.25">
      <c r="A1102" t="s">
        <v>2170</v>
      </c>
      <c r="B1102" t="s">
        <v>1454</v>
      </c>
      <c r="C1102" t="s">
        <v>2171</v>
      </c>
      <c r="D1102" t="s">
        <v>7</v>
      </c>
    </row>
    <row r="1103" spans="1:4" x14ac:dyDescent="0.25">
      <c r="A1103" t="s">
        <v>2172</v>
      </c>
      <c r="B1103" t="s">
        <v>1454</v>
      </c>
      <c r="C1103" t="s">
        <v>2173</v>
      </c>
      <c r="D1103" t="s">
        <v>7</v>
      </c>
    </row>
    <row r="1104" spans="1:4" x14ac:dyDescent="0.25">
      <c r="A1104" t="s">
        <v>2174</v>
      </c>
      <c r="B1104" t="s">
        <v>1454</v>
      </c>
      <c r="C1104" t="s">
        <v>2175</v>
      </c>
      <c r="D1104" t="s">
        <v>7</v>
      </c>
    </row>
    <row r="1105" spans="1:4" x14ac:dyDescent="0.25">
      <c r="A1105" t="s">
        <v>2176</v>
      </c>
      <c r="B1105" t="s">
        <v>1454</v>
      </c>
      <c r="C1105" t="s">
        <v>2177</v>
      </c>
      <c r="D1105" t="s">
        <v>7</v>
      </c>
    </row>
    <row r="1106" spans="1:4" x14ac:dyDescent="0.25">
      <c r="A1106" t="s">
        <v>2178</v>
      </c>
      <c r="B1106" t="s">
        <v>1454</v>
      </c>
      <c r="C1106" t="s">
        <v>2179</v>
      </c>
      <c r="D1106" t="s">
        <v>7</v>
      </c>
    </row>
    <row r="1107" spans="1:4" x14ac:dyDescent="0.25">
      <c r="A1107" t="s">
        <v>2180</v>
      </c>
      <c r="B1107" t="s">
        <v>1454</v>
      </c>
      <c r="C1107" t="s">
        <v>2181</v>
      </c>
      <c r="D1107" t="s">
        <v>7</v>
      </c>
    </row>
    <row r="1108" spans="1:4" x14ac:dyDescent="0.25">
      <c r="A1108" t="s">
        <v>2182</v>
      </c>
      <c r="B1108" t="s">
        <v>1454</v>
      </c>
      <c r="C1108" t="s">
        <v>2183</v>
      </c>
      <c r="D1108" t="s">
        <v>7</v>
      </c>
    </row>
    <row r="1109" spans="1:4" x14ac:dyDescent="0.25">
      <c r="A1109" t="s">
        <v>2184</v>
      </c>
      <c r="B1109" t="s">
        <v>1454</v>
      </c>
      <c r="C1109" t="s">
        <v>2185</v>
      </c>
      <c r="D1109" t="s">
        <v>7</v>
      </c>
    </row>
    <row r="1110" spans="1:4" x14ac:dyDescent="0.25">
      <c r="A1110" t="s">
        <v>2186</v>
      </c>
      <c r="B1110" t="s">
        <v>1454</v>
      </c>
      <c r="C1110" t="s">
        <v>2187</v>
      </c>
      <c r="D1110" t="s">
        <v>7</v>
      </c>
    </row>
    <row r="1111" spans="1:4" x14ac:dyDescent="0.25">
      <c r="A1111" t="s">
        <v>2188</v>
      </c>
      <c r="B1111" t="s">
        <v>1454</v>
      </c>
      <c r="C1111" t="s">
        <v>2189</v>
      </c>
      <c r="D1111" t="s">
        <v>7</v>
      </c>
    </row>
    <row r="1112" spans="1:4" x14ac:dyDescent="0.25">
      <c r="A1112" t="s">
        <v>2190</v>
      </c>
      <c r="B1112" t="s">
        <v>1454</v>
      </c>
      <c r="C1112" t="s">
        <v>2191</v>
      </c>
      <c r="D1112" t="s">
        <v>7</v>
      </c>
    </row>
    <row r="1113" spans="1:4" x14ac:dyDescent="0.25">
      <c r="A1113" t="s">
        <v>2192</v>
      </c>
      <c r="B1113" t="s">
        <v>1454</v>
      </c>
      <c r="C1113" t="s">
        <v>2193</v>
      </c>
      <c r="D1113" t="s">
        <v>7</v>
      </c>
    </row>
    <row r="1114" spans="1:4" x14ac:dyDescent="0.25">
      <c r="A1114" t="s">
        <v>2194</v>
      </c>
      <c r="B1114" t="s">
        <v>1454</v>
      </c>
      <c r="C1114" t="s">
        <v>2195</v>
      </c>
      <c r="D1114" t="s">
        <v>7</v>
      </c>
    </row>
    <row r="1115" spans="1:4" x14ac:dyDescent="0.25">
      <c r="A1115" t="s">
        <v>2196</v>
      </c>
      <c r="B1115" t="s">
        <v>1454</v>
      </c>
      <c r="C1115" t="s">
        <v>2197</v>
      </c>
      <c r="D1115" t="s">
        <v>7</v>
      </c>
    </row>
    <row r="1116" spans="1:4" x14ac:dyDescent="0.25">
      <c r="A1116" t="s">
        <v>2198</v>
      </c>
      <c r="B1116" t="s">
        <v>1454</v>
      </c>
      <c r="C1116" t="s">
        <v>2199</v>
      </c>
      <c r="D1116" t="s">
        <v>7</v>
      </c>
    </row>
    <row r="1117" spans="1:4" x14ac:dyDescent="0.25">
      <c r="A1117" t="s">
        <v>2200</v>
      </c>
      <c r="B1117" t="s">
        <v>1454</v>
      </c>
      <c r="C1117" t="s">
        <v>2201</v>
      </c>
      <c r="D1117" t="s">
        <v>7</v>
      </c>
    </row>
    <row r="1118" spans="1:4" x14ac:dyDescent="0.25">
      <c r="A1118" t="s">
        <v>2202</v>
      </c>
      <c r="B1118" t="s">
        <v>1454</v>
      </c>
      <c r="C1118" t="s">
        <v>2203</v>
      </c>
      <c r="D1118" t="s">
        <v>7</v>
      </c>
    </row>
    <row r="1119" spans="1:4" x14ac:dyDescent="0.25">
      <c r="A1119" t="s">
        <v>2204</v>
      </c>
      <c r="B1119" t="s">
        <v>1454</v>
      </c>
      <c r="C1119" t="s">
        <v>2205</v>
      </c>
      <c r="D1119" t="s">
        <v>7</v>
      </c>
    </row>
    <row r="1120" spans="1:4" x14ac:dyDescent="0.25">
      <c r="A1120" t="s">
        <v>2206</v>
      </c>
      <c r="B1120" t="s">
        <v>1454</v>
      </c>
      <c r="C1120" t="s">
        <v>2207</v>
      </c>
      <c r="D1120" t="s">
        <v>7</v>
      </c>
    </row>
    <row r="1121" spans="1:4" x14ac:dyDescent="0.25">
      <c r="A1121" t="s">
        <v>2208</v>
      </c>
      <c r="B1121" t="s">
        <v>1454</v>
      </c>
      <c r="C1121" t="s">
        <v>2209</v>
      </c>
      <c r="D1121" t="s">
        <v>7</v>
      </c>
    </row>
    <row r="1122" spans="1:4" x14ac:dyDescent="0.25">
      <c r="A1122" t="s">
        <v>2210</v>
      </c>
      <c r="B1122" t="s">
        <v>1454</v>
      </c>
      <c r="C1122" t="s">
        <v>2211</v>
      </c>
      <c r="D1122" t="s">
        <v>7</v>
      </c>
    </row>
    <row r="1123" spans="1:4" x14ac:dyDescent="0.25">
      <c r="A1123" t="s">
        <v>2212</v>
      </c>
      <c r="B1123" t="s">
        <v>1454</v>
      </c>
      <c r="C1123" t="s">
        <v>2213</v>
      </c>
      <c r="D1123" t="s">
        <v>7</v>
      </c>
    </row>
    <row r="1124" spans="1:4" x14ac:dyDescent="0.25">
      <c r="A1124" t="s">
        <v>2214</v>
      </c>
      <c r="B1124" t="s">
        <v>1454</v>
      </c>
      <c r="C1124" t="s">
        <v>2215</v>
      </c>
      <c r="D1124" t="s">
        <v>7</v>
      </c>
    </row>
    <row r="1125" spans="1:4" x14ac:dyDescent="0.25">
      <c r="A1125" t="s">
        <v>2216</v>
      </c>
      <c r="B1125" t="s">
        <v>1454</v>
      </c>
      <c r="C1125" t="s">
        <v>2217</v>
      </c>
      <c r="D1125" t="s">
        <v>7</v>
      </c>
    </row>
    <row r="1126" spans="1:4" x14ac:dyDescent="0.25">
      <c r="A1126" t="s">
        <v>2218</v>
      </c>
      <c r="B1126" t="s">
        <v>1454</v>
      </c>
      <c r="C1126" t="s">
        <v>2219</v>
      </c>
      <c r="D1126" t="s">
        <v>8</v>
      </c>
    </row>
    <row r="1127" spans="1:4" x14ac:dyDescent="0.25">
      <c r="A1127" t="s">
        <v>2220</v>
      </c>
      <c r="B1127" t="s">
        <v>1454</v>
      </c>
      <c r="C1127" t="s">
        <v>2221</v>
      </c>
      <c r="D1127" t="s">
        <v>8</v>
      </c>
    </row>
    <row r="1128" spans="1:4" x14ac:dyDescent="0.25">
      <c r="A1128" t="s">
        <v>2222</v>
      </c>
      <c r="B1128" t="s">
        <v>1454</v>
      </c>
      <c r="C1128" t="s">
        <v>2223</v>
      </c>
      <c r="D1128" t="s">
        <v>8</v>
      </c>
    </row>
    <row r="1129" spans="1:4" x14ac:dyDescent="0.25">
      <c r="A1129" t="s">
        <v>2224</v>
      </c>
      <c r="B1129" t="s">
        <v>1454</v>
      </c>
      <c r="C1129" t="s">
        <v>2225</v>
      </c>
      <c r="D1129" t="s">
        <v>8</v>
      </c>
    </row>
    <row r="1130" spans="1:4" x14ac:dyDescent="0.25">
      <c r="A1130" t="s">
        <v>2226</v>
      </c>
      <c r="B1130" t="s">
        <v>1454</v>
      </c>
      <c r="C1130" t="s">
        <v>2227</v>
      </c>
      <c r="D1130" t="s">
        <v>8</v>
      </c>
    </row>
    <row r="1131" spans="1:4" x14ac:dyDescent="0.25">
      <c r="A1131" t="s">
        <v>2228</v>
      </c>
      <c r="B1131" t="s">
        <v>1454</v>
      </c>
      <c r="C1131" t="s">
        <v>2229</v>
      </c>
      <c r="D1131" t="s">
        <v>8</v>
      </c>
    </row>
    <row r="1132" spans="1:4" x14ac:dyDescent="0.25">
      <c r="A1132" t="s">
        <v>2230</v>
      </c>
      <c r="B1132" t="s">
        <v>1454</v>
      </c>
      <c r="C1132" t="s">
        <v>2231</v>
      </c>
      <c r="D1132" t="s">
        <v>8</v>
      </c>
    </row>
    <row r="1133" spans="1:4" x14ac:dyDescent="0.25">
      <c r="A1133" t="s">
        <v>2232</v>
      </c>
      <c r="B1133" t="s">
        <v>1454</v>
      </c>
      <c r="C1133" t="s">
        <v>2233</v>
      </c>
      <c r="D1133" t="s">
        <v>8</v>
      </c>
    </row>
    <row r="1134" spans="1:4" x14ac:dyDescent="0.25">
      <c r="A1134" t="s">
        <v>2234</v>
      </c>
      <c r="B1134" t="s">
        <v>1454</v>
      </c>
      <c r="C1134" t="s">
        <v>2235</v>
      </c>
      <c r="D1134" t="s">
        <v>8</v>
      </c>
    </row>
    <row r="1135" spans="1:4" x14ac:dyDescent="0.25">
      <c r="A1135" t="s">
        <v>2236</v>
      </c>
      <c r="B1135" t="s">
        <v>1454</v>
      </c>
      <c r="C1135" t="s">
        <v>2237</v>
      </c>
      <c r="D1135" t="s">
        <v>16</v>
      </c>
    </row>
    <row r="1136" spans="1:4" x14ac:dyDescent="0.25">
      <c r="A1136" t="s">
        <v>2238</v>
      </c>
      <c r="B1136" t="s">
        <v>1454</v>
      </c>
      <c r="C1136" t="s">
        <v>2239</v>
      </c>
      <c r="D1136" t="s">
        <v>16</v>
      </c>
    </row>
    <row r="1137" spans="1:4" x14ac:dyDescent="0.25">
      <c r="A1137" t="s">
        <v>2240</v>
      </c>
      <c r="B1137" t="s">
        <v>1454</v>
      </c>
      <c r="C1137" t="s">
        <v>2241</v>
      </c>
      <c r="D1137" t="s">
        <v>16</v>
      </c>
    </row>
    <row r="1138" spans="1:4" x14ac:dyDescent="0.25">
      <c r="A1138" t="s">
        <v>2242</v>
      </c>
      <c r="B1138" t="s">
        <v>1454</v>
      </c>
      <c r="C1138" t="s">
        <v>2243</v>
      </c>
      <c r="D1138" t="s">
        <v>16</v>
      </c>
    </row>
    <row r="1139" spans="1:4" x14ac:dyDescent="0.25">
      <c r="A1139" t="s">
        <v>2244</v>
      </c>
      <c r="B1139" t="s">
        <v>1454</v>
      </c>
      <c r="C1139" t="s">
        <v>2245</v>
      </c>
      <c r="D1139" t="s">
        <v>16</v>
      </c>
    </row>
    <row r="1140" spans="1:4" x14ac:dyDescent="0.25">
      <c r="A1140" t="s">
        <v>2246</v>
      </c>
      <c r="B1140" t="s">
        <v>1454</v>
      </c>
      <c r="C1140" t="s">
        <v>2247</v>
      </c>
      <c r="D1140" t="s">
        <v>16</v>
      </c>
    </row>
    <row r="1141" spans="1:4" x14ac:dyDescent="0.25">
      <c r="A1141" t="s">
        <v>2248</v>
      </c>
      <c r="B1141" t="s">
        <v>1454</v>
      </c>
      <c r="C1141" t="s">
        <v>2249</v>
      </c>
      <c r="D1141" t="s">
        <v>16</v>
      </c>
    </row>
    <row r="1142" spans="1:4" x14ac:dyDescent="0.25">
      <c r="A1142" t="s">
        <v>2250</v>
      </c>
      <c r="B1142" t="s">
        <v>1454</v>
      </c>
      <c r="C1142" t="s">
        <v>2251</v>
      </c>
      <c r="D1142" t="s">
        <v>16</v>
      </c>
    </row>
    <row r="1143" spans="1:4" x14ac:dyDescent="0.25">
      <c r="A1143" t="s">
        <v>2252</v>
      </c>
      <c r="B1143" t="s">
        <v>1454</v>
      </c>
      <c r="C1143" t="s">
        <v>2253</v>
      </c>
      <c r="D1143" t="s">
        <v>16</v>
      </c>
    </row>
    <row r="1144" spans="1:4" x14ac:dyDescent="0.25">
      <c r="A1144" t="s">
        <v>2254</v>
      </c>
      <c r="B1144" t="s">
        <v>1454</v>
      </c>
      <c r="C1144" t="s">
        <v>2255</v>
      </c>
      <c r="D1144" t="s">
        <v>16</v>
      </c>
    </row>
    <row r="1145" spans="1:4" x14ac:dyDescent="0.25">
      <c r="A1145" t="s">
        <v>2256</v>
      </c>
      <c r="B1145" t="s">
        <v>1454</v>
      </c>
      <c r="C1145" t="s">
        <v>2257</v>
      </c>
      <c r="D1145" t="s">
        <v>65</v>
      </c>
    </row>
    <row r="1146" spans="1:4" x14ac:dyDescent="0.25">
      <c r="A1146" t="s">
        <v>2258</v>
      </c>
      <c r="B1146" t="s">
        <v>1454</v>
      </c>
      <c r="C1146" t="s">
        <v>2259</v>
      </c>
      <c r="D1146" t="s">
        <v>7</v>
      </c>
    </row>
    <row r="1147" spans="1:4" x14ac:dyDescent="0.25">
      <c r="A1147" t="s">
        <v>2260</v>
      </c>
      <c r="B1147" t="s">
        <v>1454</v>
      </c>
      <c r="C1147" t="s">
        <v>2261</v>
      </c>
      <c r="D1147" t="s">
        <v>7</v>
      </c>
    </row>
    <row r="1148" spans="1:4" x14ac:dyDescent="0.25">
      <c r="A1148" t="s">
        <v>2262</v>
      </c>
      <c r="B1148" t="s">
        <v>1454</v>
      </c>
      <c r="C1148" t="s">
        <v>2263</v>
      </c>
      <c r="D1148" t="s">
        <v>65</v>
      </c>
    </row>
    <row r="1149" spans="1:4" x14ac:dyDescent="0.25">
      <c r="A1149" t="s">
        <v>2264</v>
      </c>
      <c r="B1149" t="s">
        <v>1454</v>
      </c>
      <c r="C1149" t="s">
        <v>2265</v>
      </c>
      <c r="D1149" t="s">
        <v>7</v>
      </c>
    </row>
    <row r="1150" spans="1:4" x14ac:dyDescent="0.25">
      <c r="A1150" t="s">
        <v>2266</v>
      </c>
      <c r="B1150" t="s">
        <v>1454</v>
      </c>
      <c r="C1150" t="s">
        <v>2267</v>
      </c>
      <c r="D1150" t="s">
        <v>7</v>
      </c>
    </row>
    <row r="1151" spans="1:4" x14ac:dyDescent="0.25">
      <c r="A1151" t="s">
        <v>2268</v>
      </c>
      <c r="B1151" t="s">
        <v>1454</v>
      </c>
      <c r="C1151" t="s">
        <v>2269</v>
      </c>
      <c r="D1151" t="s">
        <v>7</v>
      </c>
    </row>
    <row r="1152" spans="1:4" x14ac:dyDescent="0.25">
      <c r="A1152" t="s">
        <v>2270</v>
      </c>
      <c r="B1152" t="s">
        <v>1454</v>
      </c>
      <c r="C1152" t="s">
        <v>2271</v>
      </c>
      <c r="D1152" t="s">
        <v>7</v>
      </c>
    </row>
    <row r="1153" spans="1:4" x14ac:dyDescent="0.25">
      <c r="A1153" t="s">
        <v>2272</v>
      </c>
      <c r="B1153" t="s">
        <v>1454</v>
      </c>
      <c r="C1153" t="s">
        <v>2273</v>
      </c>
      <c r="D1153" t="s">
        <v>7</v>
      </c>
    </row>
    <row r="1154" spans="1:4" x14ac:dyDescent="0.25">
      <c r="A1154" t="s">
        <v>2274</v>
      </c>
      <c r="B1154" t="s">
        <v>1454</v>
      </c>
      <c r="C1154" t="s">
        <v>2275</v>
      </c>
      <c r="D1154" t="s">
        <v>7</v>
      </c>
    </row>
    <row r="1155" spans="1:4" x14ac:dyDescent="0.25">
      <c r="A1155" t="s">
        <v>2276</v>
      </c>
      <c r="B1155" t="s">
        <v>1454</v>
      </c>
      <c r="C1155" t="s">
        <v>2277</v>
      </c>
      <c r="D1155" t="s">
        <v>7</v>
      </c>
    </row>
    <row r="1156" spans="1:4" x14ac:dyDescent="0.25">
      <c r="A1156" t="s">
        <v>2278</v>
      </c>
      <c r="B1156" t="s">
        <v>1454</v>
      </c>
      <c r="C1156" t="s">
        <v>2279</v>
      </c>
      <c r="D1156" t="s">
        <v>16</v>
      </c>
    </row>
    <row r="1157" spans="1:4" x14ac:dyDescent="0.25">
      <c r="A1157" t="s">
        <v>2280</v>
      </c>
      <c r="B1157" t="s">
        <v>1454</v>
      </c>
      <c r="C1157" t="s">
        <v>2281</v>
      </c>
      <c r="D1157" t="s">
        <v>7</v>
      </c>
    </row>
    <row r="1158" spans="1:4" x14ac:dyDescent="0.25">
      <c r="A1158" t="s">
        <v>2282</v>
      </c>
      <c r="B1158" t="s">
        <v>1454</v>
      </c>
      <c r="C1158" t="s">
        <v>2283</v>
      </c>
      <c r="D1158" t="s">
        <v>7</v>
      </c>
    </row>
    <row r="1159" spans="1:4" x14ac:dyDescent="0.25">
      <c r="A1159" t="s">
        <v>2284</v>
      </c>
      <c r="B1159" t="s">
        <v>1454</v>
      </c>
      <c r="C1159" t="s">
        <v>2285</v>
      </c>
      <c r="D1159" t="s">
        <v>7</v>
      </c>
    </row>
    <row r="1160" spans="1:4" x14ac:dyDescent="0.25">
      <c r="A1160" t="s">
        <v>2286</v>
      </c>
      <c r="B1160" t="s">
        <v>1454</v>
      </c>
      <c r="C1160" t="s">
        <v>2287</v>
      </c>
      <c r="D1160" t="s">
        <v>7</v>
      </c>
    </row>
    <row r="1161" spans="1:4" x14ac:dyDescent="0.25">
      <c r="A1161" t="s">
        <v>2288</v>
      </c>
      <c r="B1161" t="s">
        <v>1454</v>
      </c>
      <c r="C1161" t="s">
        <v>2289</v>
      </c>
      <c r="D1161" t="s">
        <v>7</v>
      </c>
    </row>
    <row r="1162" spans="1:4" x14ac:dyDescent="0.25">
      <c r="A1162" t="s">
        <v>2290</v>
      </c>
      <c r="B1162" t="s">
        <v>1454</v>
      </c>
      <c r="C1162" t="s">
        <v>2291</v>
      </c>
      <c r="D1162" t="s">
        <v>691</v>
      </c>
    </row>
    <row r="1163" spans="1:4" x14ac:dyDescent="0.25">
      <c r="A1163" t="s">
        <v>2292</v>
      </c>
      <c r="B1163" t="s">
        <v>1454</v>
      </c>
      <c r="C1163" t="s">
        <v>2293</v>
      </c>
      <c r="D1163" t="s">
        <v>65</v>
      </c>
    </row>
    <row r="1164" spans="1:4" x14ac:dyDescent="0.25">
      <c r="A1164" t="s">
        <v>2294</v>
      </c>
      <c r="B1164" t="s">
        <v>1454</v>
      </c>
      <c r="C1164" t="s">
        <v>2295</v>
      </c>
      <c r="D1164" t="s">
        <v>7</v>
      </c>
    </row>
    <row r="1165" spans="1:4" x14ac:dyDescent="0.25">
      <c r="A1165" t="s">
        <v>2296</v>
      </c>
      <c r="B1165" t="s">
        <v>1454</v>
      </c>
      <c r="C1165" t="s">
        <v>2297</v>
      </c>
      <c r="D1165" t="s">
        <v>65</v>
      </c>
    </row>
    <row r="1166" spans="1:4" x14ac:dyDescent="0.25">
      <c r="A1166" t="s">
        <v>2298</v>
      </c>
      <c r="B1166" t="s">
        <v>1454</v>
      </c>
      <c r="C1166" t="s">
        <v>2299</v>
      </c>
      <c r="D1166" t="s">
        <v>65</v>
      </c>
    </row>
    <row r="1167" spans="1:4" x14ac:dyDescent="0.25">
      <c r="A1167" t="s">
        <v>2300</v>
      </c>
      <c r="B1167" t="s">
        <v>1454</v>
      </c>
      <c r="C1167" t="s">
        <v>2301</v>
      </c>
      <c r="D1167" t="s">
        <v>7</v>
      </c>
    </row>
    <row r="1168" spans="1:4" x14ac:dyDescent="0.25">
      <c r="A1168" t="s">
        <v>2302</v>
      </c>
      <c r="B1168" t="s">
        <v>1454</v>
      </c>
      <c r="C1168" t="s">
        <v>2303</v>
      </c>
      <c r="D1168" t="s">
        <v>7</v>
      </c>
    </row>
    <row r="1169" spans="1:4" x14ac:dyDescent="0.25">
      <c r="A1169" t="s">
        <v>2304</v>
      </c>
      <c r="B1169" t="s">
        <v>1454</v>
      </c>
      <c r="C1169" t="s">
        <v>2305</v>
      </c>
      <c r="D1169" t="s">
        <v>7</v>
      </c>
    </row>
    <row r="1170" spans="1:4" x14ac:dyDescent="0.25">
      <c r="A1170" t="s">
        <v>2306</v>
      </c>
      <c r="B1170" t="s">
        <v>1454</v>
      </c>
      <c r="C1170" t="s">
        <v>2307</v>
      </c>
      <c r="D1170" t="s">
        <v>7</v>
      </c>
    </row>
    <row r="1171" spans="1:4" x14ac:dyDescent="0.25">
      <c r="A1171" t="s">
        <v>2308</v>
      </c>
      <c r="B1171" t="s">
        <v>1454</v>
      </c>
      <c r="C1171" t="s">
        <v>2309</v>
      </c>
      <c r="D1171" t="s">
        <v>7</v>
      </c>
    </row>
    <row r="1172" spans="1:4" x14ac:dyDescent="0.25">
      <c r="A1172" t="s">
        <v>2310</v>
      </c>
      <c r="B1172" t="s">
        <v>1454</v>
      </c>
      <c r="C1172" t="s">
        <v>2311</v>
      </c>
      <c r="D1172" t="s">
        <v>7</v>
      </c>
    </row>
    <row r="1173" spans="1:4" x14ac:dyDescent="0.25">
      <c r="A1173" t="s">
        <v>2312</v>
      </c>
      <c r="B1173" t="s">
        <v>1454</v>
      </c>
      <c r="C1173" t="s">
        <v>2313</v>
      </c>
      <c r="D1173" t="s">
        <v>7</v>
      </c>
    </row>
    <row r="1174" spans="1:4" x14ac:dyDescent="0.25">
      <c r="A1174" t="s">
        <v>2314</v>
      </c>
      <c r="B1174" t="s">
        <v>1454</v>
      </c>
      <c r="C1174" t="s">
        <v>2315</v>
      </c>
      <c r="D1174" t="s">
        <v>7</v>
      </c>
    </row>
    <row r="1175" spans="1:4" x14ac:dyDescent="0.25">
      <c r="A1175" t="s">
        <v>2316</v>
      </c>
      <c r="B1175" t="s">
        <v>1454</v>
      </c>
      <c r="C1175" t="s">
        <v>2317</v>
      </c>
      <c r="D1175" t="s">
        <v>7</v>
      </c>
    </row>
    <row r="1176" spans="1:4" x14ac:dyDescent="0.25">
      <c r="A1176" t="s">
        <v>2318</v>
      </c>
      <c r="B1176" t="s">
        <v>1454</v>
      </c>
      <c r="C1176" t="s">
        <v>2319</v>
      </c>
      <c r="D1176" t="s">
        <v>7</v>
      </c>
    </row>
    <row r="1177" spans="1:4" x14ac:dyDescent="0.25">
      <c r="A1177" t="s">
        <v>2320</v>
      </c>
      <c r="B1177" t="s">
        <v>1454</v>
      </c>
      <c r="C1177" t="s">
        <v>2321</v>
      </c>
      <c r="D1177" t="s">
        <v>7</v>
      </c>
    </row>
    <row r="1178" spans="1:4" x14ac:dyDescent="0.25">
      <c r="A1178" t="s">
        <v>2322</v>
      </c>
      <c r="B1178" t="s">
        <v>1454</v>
      </c>
      <c r="C1178" t="s">
        <v>2323</v>
      </c>
      <c r="D1178" t="s">
        <v>7</v>
      </c>
    </row>
    <row r="1179" spans="1:4" x14ac:dyDescent="0.25">
      <c r="A1179" t="s">
        <v>2324</v>
      </c>
      <c r="B1179" t="s">
        <v>1454</v>
      </c>
      <c r="C1179" t="s">
        <v>2325</v>
      </c>
      <c r="D1179" t="s">
        <v>7</v>
      </c>
    </row>
    <row r="1180" spans="1:4" x14ac:dyDescent="0.25">
      <c r="A1180" t="s">
        <v>2326</v>
      </c>
      <c r="B1180" t="s">
        <v>1454</v>
      </c>
      <c r="C1180" t="s">
        <v>2327</v>
      </c>
      <c r="D1180" t="s">
        <v>7</v>
      </c>
    </row>
    <row r="1181" spans="1:4" x14ac:dyDescent="0.25">
      <c r="A1181" t="s">
        <v>2328</v>
      </c>
      <c r="B1181" t="s">
        <v>1454</v>
      </c>
      <c r="C1181" t="s">
        <v>2329</v>
      </c>
      <c r="D1181" t="s">
        <v>7</v>
      </c>
    </row>
    <row r="1182" spans="1:4" x14ac:dyDescent="0.25">
      <c r="A1182" t="s">
        <v>2330</v>
      </c>
      <c r="B1182" t="s">
        <v>1454</v>
      </c>
      <c r="C1182" t="s">
        <v>2331</v>
      </c>
      <c r="D1182" t="s">
        <v>7</v>
      </c>
    </row>
    <row r="1183" spans="1:4" x14ac:dyDescent="0.25">
      <c r="A1183" t="s">
        <v>2332</v>
      </c>
      <c r="B1183" t="s">
        <v>1454</v>
      </c>
      <c r="C1183" t="s">
        <v>2333</v>
      </c>
      <c r="D1183" t="s">
        <v>7</v>
      </c>
    </row>
    <row r="1184" spans="1:4" x14ac:dyDescent="0.25">
      <c r="A1184" t="s">
        <v>2334</v>
      </c>
      <c r="B1184" t="s">
        <v>1454</v>
      </c>
      <c r="C1184" t="s">
        <v>2335</v>
      </c>
      <c r="D1184" t="s">
        <v>7</v>
      </c>
    </row>
    <row r="1185" spans="1:4" x14ac:dyDescent="0.25">
      <c r="A1185" t="s">
        <v>2336</v>
      </c>
      <c r="B1185" t="s">
        <v>1454</v>
      </c>
      <c r="C1185" t="s">
        <v>2337</v>
      </c>
      <c r="D1185" t="s">
        <v>7</v>
      </c>
    </row>
    <row r="1186" spans="1:4" x14ac:dyDescent="0.25">
      <c r="A1186" t="s">
        <v>2338</v>
      </c>
      <c r="B1186" t="s">
        <v>1454</v>
      </c>
      <c r="C1186" t="s">
        <v>2339</v>
      </c>
      <c r="D1186" t="s">
        <v>7</v>
      </c>
    </row>
    <row r="1187" spans="1:4" x14ac:dyDescent="0.25">
      <c r="A1187" t="s">
        <v>2340</v>
      </c>
      <c r="B1187" t="s">
        <v>1454</v>
      </c>
      <c r="C1187" t="s">
        <v>2341</v>
      </c>
      <c r="D1187" t="s">
        <v>7</v>
      </c>
    </row>
    <row r="1188" spans="1:4" x14ac:dyDescent="0.25">
      <c r="A1188" t="s">
        <v>2342</v>
      </c>
      <c r="B1188" t="s">
        <v>1454</v>
      </c>
      <c r="C1188" t="s">
        <v>2343</v>
      </c>
      <c r="D1188" t="s">
        <v>7</v>
      </c>
    </row>
    <row r="1189" spans="1:4" x14ac:dyDescent="0.25">
      <c r="A1189" t="s">
        <v>2344</v>
      </c>
      <c r="B1189" t="s">
        <v>1454</v>
      </c>
      <c r="C1189" t="s">
        <v>2345</v>
      </c>
      <c r="D1189" t="s">
        <v>7</v>
      </c>
    </row>
    <row r="1190" spans="1:4" x14ac:dyDescent="0.25">
      <c r="A1190" t="s">
        <v>2346</v>
      </c>
      <c r="B1190" t="s">
        <v>1454</v>
      </c>
      <c r="C1190" t="s">
        <v>2347</v>
      </c>
      <c r="D1190" t="s">
        <v>7</v>
      </c>
    </row>
    <row r="1191" spans="1:4" x14ac:dyDescent="0.25">
      <c r="A1191" t="s">
        <v>2348</v>
      </c>
      <c r="B1191" t="s">
        <v>1454</v>
      </c>
      <c r="C1191" t="s">
        <v>2349</v>
      </c>
      <c r="D1191" t="s">
        <v>7</v>
      </c>
    </row>
    <row r="1192" spans="1:4" x14ac:dyDescent="0.25">
      <c r="A1192" t="s">
        <v>2350</v>
      </c>
      <c r="B1192" t="s">
        <v>1454</v>
      </c>
      <c r="C1192" t="s">
        <v>2351</v>
      </c>
      <c r="D1192" t="s">
        <v>7</v>
      </c>
    </row>
    <row r="1193" spans="1:4" x14ac:dyDescent="0.25">
      <c r="A1193" t="s">
        <v>2352</v>
      </c>
      <c r="B1193" t="s">
        <v>1454</v>
      </c>
      <c r="C1193" t="s">
        <v>2353</v>
      </c>
      <c r="D1193" t="s">
        <v>7</v>
      </c>
    </row>
    <row r="1194" spans="1:4" x14ac:dyDescent="0.25">
      <c r="A1194" t="s">
        <v>2354</v>
      </c>
      <c r="B1194" t="s">
        <v>1454</v>
      </c>
      <c r="C1194" t="s">
        <v>2355</v>
      </c>
      <c r="D1194" t="s">
        <v>7</v>
      </c>
    </row>
    <row r="1195" spans="1:4" x14ac:dyDescent="0.25">
      <c r="A1195" t="s">
        <v>2356</v>
      </c>
      <c r="B1195" t="s">
        <v>1454</v>
      </c>
      <c r="C1195" t="s">
        <v>2357</v>
      </c>
      <c r="D1195" t="s">
        <v>7</v>
      </c>
    </row>
    <row r="1196" spans="1:4" x14ac:dyDescent="0.25">
      <c r="A1196" t="s">
        <v>2358</v>
      </c>
      <c r="B1196" t="s">
        <v>1454</v>
      </c>
      <c r="C1196" t="s">
        <v>2359</v>
      </c>
      <c r="D1196" t="s">
        <v>7</v>
      </c>
    </row>
    <row r="1197" spans="1:4" x14ac:dyDescent="0.25">
      <c r="A1197" t="s">
        <v>2360</v>
      </c>
      <c r="B1197" t="s">
        <v>1454</v>
      </c>
      <c r="C1197" t="s">
        <v>2361</v>
      </c>
      <c r="D1197" t="s">
        <v>7</v>
      </c>
    </row>
    <row r="1198" spans="1:4" x14ac:dyDescent="0.25">
      <c r="A1198" t="s">
        <v>2362</v>
      </c>
      <c r="B1198" t="s">
        <v>1454</v>
      </c>
      <c r="C1198" t="s">
        <v>2363</v>
      </c>
      <c r="D1198" t="s">
        <v>7</v>
      </c>
    </row>
    <row r="1199" spans="1:4" x14ac:dyDescent="0.25">
      <c r="A1199" t="s">
        <v>2364</v>
      </c>
      <c r="B1199" t="s">
        <v>1454</v>
      </c>
      <c r="C1199" t="s">
        <v>2365</v>
      </c>
      <c r="D1199" t="s">
        <v>7</v>
      </c>
    </row>
    <row r="1200" spans="1:4" x14ac:dyDescent="0.25">
      <c r="A1200" t="s">
        <v>2366</v>
      </c>
      <c r="B1200" t="s">
        <v>1454</v>
      </c>
      <c r="C1200" t="s">
        <v>2367</v>
      </c>
      <c r="D1200" t="s">
        <v>8</v>
      </c>
    </row>
    <row r="1201" spans="1:4" x14ac:dyDescent="0.25">
      <c r="A1201" t="s">
        <v>2368</v>
      </c>
      <c r="B1201" t="s">
        <v>1454</v>
      </c>
      <c r="C1201" t="s">
        <v>2369</v>
      </c>
      <c r="D1201" t="s">
        <v>16</v>
      </c>
    </row>
    <row r="1202" spans="1:4" x14ac:dyDescent="0.25">
      <c r="A1202" t="s">
        <v>2370</v>
      </c>
      <c r="B1202" t="s">
        <v>1454</v>
      </c>
      <c r="C1202" t="s">
        <v>2371</v>
      </c>
      <c r="D1202" t="s">
        <v>8</v>
      </c>
    </row>
    <row r="1203" spans="1:4" x14ac:dyDescent="0.25">
      <c r="A1203" t="s">
        <v>2372</v>
      </c>
      <c r="B1203" t="s">
        <v>1454</v>
      </c>
      <c r="C1203" t="s">
        <v>2373</v>
      </c>
      <c r="D1203" t="s">
        <v>7</v>
      </c>
    </row>
    <row r="1204" spans="1:4" x14ac:dyDescent="0.25">
      <c r="A1204" t="s">
        <v>2374</v>
      </c>
      <c r="B1204" t="s">
        <v>1454</v>
      </c>
      <c r="C1204" t="s">
        <v>2375</v>
      </c>
      <c r="D1204" t="s">
        <v>7</v>
      </c>
    </row>
    <row r="1205" spans="1:4" x14ac:dyDescent="0.25">
      <c r="A1205" t="s">
        <v>2376</v>
      </c>
      <c r="B1205" t="s">
        <v>1454</v>
      </c>
      <c r="C1205" t="s">
        <v>2377</v>
      </c>
      <c r="D1205" t="s">
        <v>7</v>
      </c>
    </row>
    <row r="1206" spans="1:4" x14ac:dyDescent="0.25">
      <c r="A1206" t="s">
        <v>2378</v>
      </c>
      <c r="B1206" t="s">
        <v>1454</v>
      </c>
      <c r="C1206" t="s">
        <v>2379</v>
      </c>
      <c r="D1206" t="s">
        <v>7</v>
      </c>
    </row>
    <row r="1207" spans="1:4" x14ac:dyDescent="0.25">
      <c r="A1207" t="s">
        <v>2380</v>
      </c>
      <c r="B1207" t="s">
        <v>1454</v>
      </c>
      <c r="C1207" t="s">
        <v>2381</v>
      </c>
      <c r="D1207" t="s">
        <v>7</v>
      </c>
    </row>
    <row r="1208" spans="1:4" x14ac:dyDescent="0.25">
      <c r="A1208" t="s">
        <v>2382</v>
      </c>
      <c r="B1208" t="s">
        <v>1454</v>
      </c>
      <c r="C1208" t="s">
        <v>2383</v>
      </c>
      <c r="D1208" t="s">
        <v>7</v>
      </c>
    </row>
    <row r="1209" spans="1:4" x14ac:dyDescent="0.25">
      <c r="A1209" t="s">
        <v>2384</v>
      </c>
      <c r="B1209" t="s">
        <v>1454</v>
      </c>
      <c r="C1209" t="s">
        <v>2385</v>
      </c>
      <c r="D1209" t="s">
        <v>7</v>
      </c>
    </row>
    <row r="1210" spans="1:4" x14ac:dyDescent="0.25">
      <c r="A1210" t="s">
        <v>2386</v>
      </c>
      <c r="B1210" t="s">
        <v>1454</v>
      </c>
      <c r="C1210" t="s">
        <v>2387</v>
      </c>
      <c r="D1210" t="s">
        <v>7</v>
      </c>
    </row>
    <row r="1211" spans="1:4" x14ac:dyDescent="0.25">
      <c r="A1211" t="s">
        <v>2388</v>
      </c>
      <c r="B1211" t="s">
        <v>1454</v>
      </c>
      <c r="C1211" t="s">
        <v>2389</v>
      </c>
      <c r="D1211" t="s">
        <v>7</v>
      </c>
    </row>
    <row r="1212" spans="1:4" x14ac:dyDescent="0.25">
      <c r="A1212" t="s">
        <v>2390</v>
      </c>
      <c r="B1212" t="s">
        <v>1454</v>
      </c>
      <c r="C1212" t="s">
        <v>2391</v>
      </c>
      <c r="D1212" t="s">
        <v>7</v>
      </c>
    </row>
    <row r="1213" spans="1:4" x14ac:dyDescent="0.25">
      <c r="A1213" t="s">
        <v>2392</v>
      </c>
      <c r="B1213" t="s">
        <v>1454</v>
      </c>
      <c r="C1213" t="s">
        <v>2393</v>
      </c>
      <c r="D1213" t="s">
        <v>7</v>
      </c>
    </row>
    <row r="1214" spans="1:4" x14ac:dyDescent="0.25">
      <c r="A1214" t="s">
        <v>2394</v>
      </c>
      <c r="B1214" t="s">
        <v>1454</v>
      </c>
      <c r="C1214" t="s">
        <v>2395</v>
      </c>
      <c r="D1214" t="s">
        <v>7</v>
      </c>
    </row>
    <row r="1215" spans="1:4" x14ac:dyDescent="0.25">
      <c r="A1215" t="s">
        <v>2396</v>
      </c>
      <c r="B1215" t="s">
        <v>1454</v>
      </c>
      <c r="C1215" t="s">
        <v>2397</v>
      </c>
      <c r="D1215" t="s">
        <v>7</v>
      </c>
    </row>
    <row r="1216" spans="1:4" x14ac:dyDescent="0.25">
      <c r="A1216" t="s">
        <v>2398</v>
      </c>
      <c r="B1216" t="s">
        <v>1454</v>
      </c>
      <c r="C1216" t="s">
        <v>2399</v>
      </c>
      <c r="D1216" t="s">
        <v>7</v>
      </c>
    </row>
    <row r="1217" spans="1:4" x14ac:dyDescent="0.25">
      <c r="A1217" t="s">
        <v>2400</v>
      </c>
      <c r="B1217" t="s">
        <v>1454</v>
      </c>
      <c r="C1217" t="s">
        <v>2401</v>
      </c>
      <c r="D1217" t="s">
        <v>7</v>
      </c>
    </row>
    <row r="1218" spans="1:4" x14ac:dyDescent="0.25">
      <c r="A1218" t="s">
        <v>2402</v>
      </c>
      <c r="B1218" t="s">
        <v>1454</v>
      </c>
      <c r="C1218" t="s">
        <v>2403</v>
      </c>
      <c r="D1218" t="s">
        <v>7</v>
      </c>
    </row>
    <row r="1219" spans="1:4" x14ac:dyDescent="0.25">
      <c r="A1219" t="s">
        <v>2404</v>
      </c>
      <c r="B1219" t="s">
        <v>1454</v>
      </c>
      <c r="C1219" t="s">
        <v>2405</v>
      </c>
      <c r="D1219" t="s">
        <v>7</v>
      </c>
    </row>
    <row r="1220" spans="1:4" x14ac:dyDescent="0.25">
      <c r="A1220" t="s">
        <v>2406</v>
      </c>
      <c r="B1220" t="s">
        <v>1454</v>
      </c>
      <c r="C1220" t="s">
        <v>2407</v>
      </c>
      <c r="D1220" t="s">
        <v>7</v>
      </c>
    </row>
    <row r="1221" spans="1:4" x14ac:dyDescent="0.25">
      <c r="A1221" t="s">
        <v>2408</v>
      </c>
      <c r="B1221" t="s">
        <v>1454</v>
      </c>
      <c r="C1221" t="s">
        <v>2409</v>
      </c>
      <c r="D1221" t="s">
        <v>7</v>
      </c>
    </row>
    <row r="1222" spans="1:4" x14ac:dyDescent="0.25">
      <c r="A1222" t="s">
        <v>2410</v>
      </c>
      <c r="B1222" t="s">
        <v>1454</v>
      </c>
      <c r="C1222" t="s">
        <v>2411</v>
      </c>
      <c r="D1222" t="s">
        <v>7</v>
      </c>
    </row>
    <row r="1223" spans="1:4" x14ac:dyDescent="0.25">
      <c r="A1223" t="s">
        <v>2412</v>
      </c>
      <c r="B1223" t="s">
        <v>1454</v>
      </c>
      <c r="C1223" t="s">
        <v>2413</v>
      </c>
      <c r="D1223" t="s">
        <v>7</v>
      </c>
    </row>
    <row r="1224" spans="1:4" x14ac:dyDescent="0.25">
      <c r="A1224" t="s">
        <v>2414</v>
      </c>
      <c r="B1224" t="s">
        <v>1454</v>
      </c>
      <c r="C1224" t="s">
        <v>2415</v>
      </c>
      <c r="D1224" t="s">
        <v>7</v>
      </c>
    </row>
    <row r="1225" spans="1:4" x14ac:dyDescent="0.25">
      <c r="A1225" t="s">
        <v>2416</v>
      </c>
      <c r="B1225" t="s">
        <v>1454</v>
      </c>
      <c r="C1225" t="s">
        <v>2417</v>
      </c>
      <c r="D1225" t="s">
        <v>7</v>
      </c>
    </row>
    <row r="1226" spans="1:4" x14ac:dyDescent="0.25">
      <c r="A1226" t="s">
        <v>2418</v>
      </c>
      <c r="B1226" t="s">
        <v>1454</v>
      </c>
      <c r="C1226" t="s">
        <v>2419</v>
      </c>
      <c r="D1226" t="s">
        <v>7</v>
      </c>
    </row>
    <row r="1227" spans="1:4" x14ac:dyDescent="0.25">
      <c r="A1227" t="s">
        <v>2420</v>
      </c>
      <c r="B1227" t="s">
        <v>1454</v>
      </c>
      <c r="C1227" t="s">
        <v>2421</v>
      </c>
      <c r="D1227" t="s">
        <v>7</v>
      </c>
    </row>
    <row r="1228" spans="1:4" x14ac:dyDescent="0.25">
      <c r="A1228" t="s">
        <v>2422</v>
      </c>
      <c r="B1228" t="s">
        <v>1454</v>
      </c>
      <c r="C1228" t="s">
        <v>2423</v>
      </c>
      <c r="D1228" t="s">
        <v>7</v>
      </c>
    </row>
    <row r="1229" spans="1:4" x14ac:dyDescent="0.25">
      <c r="A1229" t="s">
        <v>2424</v>
      </c>
      <c r="B1229" t="s">
        <v>1454</v>
      </c>
      <c r="C1229" t="s">
        <v>2425</v>
      </c>
      <c r="D1229" t="s">
        <v>7</v>
      </c>
    </row>
    <row r="1230" spans="1:4" x14ac:dyDescent="0.25">
      <c r="A1230" t="s">
        <v>2426</v>
      </c>
      <c r="B1230" t="s">
        <v>1454</v>
      </c>
      <c r="C1230" t="s">
        <v>2427</v>
      </c>
      <c r="D1230" t="s">
        <v>7</v>
      </c>
    </row>
    <row r="1231" spans="1:4" x14ac:dyDescent="0.25">
      <c r="A1231" t="s">
        <v>2428</v>
      </c>
      <c r="B1231" t="s">
        <v>1454</v>
      </c>
      <c r="C1231" t="s">
        <v>2429</v>
      </c>
      <c r="D1231" t="s">
        <v>7</v>
      </c>
    </row>
    <row r="1232" spans="1:4" x14ac:dyDescent="0.25">
      <c r="A1232" t="s">
        <v>2430</v>
      </c>
      <c r="B1232" t="s">
        <v>1454</v>
      </c>
      <c r="C1232" t="s">
        <v>2431</v>
      </c>
      <c r="D1232" t="s">
        <v>7</v>
      </c>
    </row>
    <row r="1233" spans="1:4" x14ac:dyDescent="0.25">
      <c r="A1233" t="s">
        <v>2432</v>
      </c>
      <c r="B1233" t="s">
        <v>1454</v>
      </c>
      <c r="C1233" t="s">
        <v>2433</v>
      </c>
      <c r="D1233" t="s">
        <v>7</v>
      </c>
    </row>
    <row r="1234" spans="1:4" x14ac:dyDescent="0.25">
      <c r="A1234" t="s">
        <v>2434</v>
      </c>
      <c r="B1234" t="s">
        <v>1454</v>
      </c>
      <c r="C1234" t="s">
        <v>2435</v>
      </c>
      <c r="D1234" t="s">
        <v>7</v>
      </c>
    </row>
    <row r="1235" spans="1:4" x14ac:dyDescent="0.25">
      <c r="A1235" t="s">
        <v>2436</v>
      </c>
      <c r="B1235" t="s">
        <v>1454</v>
      </c>
      <c r="C1235" t="s">
        <v>2437</v>
      </c>
      <c r="D1235" t="s">
        <v>7</v>
      </c>
    </row>
    <row r="1236" spans="1:4" x14ac:dyDescent="0.25">
      <c r="A1236" t="s">
        <v>2438</v>
      </c>
      <c r="B1236" t="s">
        <v>1454</v>
      </c>
      <c r="C1236" t="s">
        <v>2439</v>
      </c>
      <c r="D1236" t="s">
        <v>7</v>
      </c>
    </row>
    <row r="1237" spans="1:4" x14ac:dyDescent="0.25">
      <c r="A1237" t="s">
        <v>2440</v>
      </c>
      <c r="B1237" t="s">
        <v>1454</v>
      </c>
      <c r="C1237" t="s">
        <v>2441</v>
      </c>
      <c r="D1237" t="s">
        <v>16</v>
      </c>
    </row>
    <row r="1238" spans="1:4" x14ac:dyDescent="0.25">
      <c r="A1238" t="s">
        <v>2442</v>
      </c>
      <c r="B1238" t="s">
        <v>1454</v>
      </c>
      <c r="C1238" t="s">
        <v>2443</v>
      </c>
      <c r="D1238" t="s">
        <v>7</v>
      </c>
    </row>
    <row r="1239" spans="1:4" x14ac:dyDescent="0.25">
      <c r="A1239" t="s">
        <v>2444</v>
      </c>
      <c r="B1239" t="s">
        <v>1454</v>
      </c>
      <c r="C1239" t="s">
        <v>2445</v>
      </c>
      <c r="D1239" t="s">
        <v>7</v>
      </c>
    </row>
    <row r="1240" spans="1:4" x14ac:dyDescent="0.25">
      <c r="A1240" t="s">
        <v>2446</v>
      </c>
      <c r="B1240" t="s">
        <v>1454</v>
      </c>
      <c r="C1240" t="s">
        <v>2447</v>
      </c>
      <c r="D1240" t="s">
        <v>7</v>
      </c>
    </row>
    <row r="1241" spans="1:4" x14ac:dyDescent="0.25">
      <c r="A1241" t="s">
        <v>2448</v>
      </c>
      <c r="B1241" t="s">
        <v>1454</v>
      </c>
      <c r="C1241" t="s">
        <v>2449</v>
      </c>
      <c r="D1241" t="s">
        <v>7</v>
      </c>
    </row>
    <row r="1242" spans="1:4" x14ac:dyDescent="0.25">
      <c r="A1242" t="s">
        <v>2450</v>
      </c>
      <c r="B1242" t="s">
        <v>1454</v>
      </c>
      <c r="C1242" t="s">
        <v>2451</v>
      </c>
      <c r="D1242" t="s">
        <v>7</v>
      </c>
    </row>
    <row r="1243" spans="1:4" x14ac:dyDescent="0.25">
      <c r="A1243" t="s">
        <v>2452</v>
      </c>
      <c r="B1243" t="s">
        <v>1454</v>
      </c>
      <c r="C1243" t="s">
        <v>2453</v>
      </c>
      <c r="D1243" t="s">
        <v>7</v>
      </c>
    </row>
    <row r="1244" spans="1:4" x14ac:dyDescent="0.25">
      <c r="A1244" t="s">
        <v>2454</v>
      </c>
      <c r="B1244" t="s">
        <v>1454</v>
      </c>
      <c r="C1244" t="s">
        <v>2455</v>
      </c>
      <c r="D1244" t="s">
        <v>7</v>
      </c>
    </row>
    <row r="1245" spans="1:4" x14ac:dyDescent="0.25">
      <c r="A1245" t="s">
        <v>2456</v>
      </c>
      <c r="B1245" t="s">
        <v>1454</v>
      </c>
      <c r="C1245" t="s">
        <v>2457</v>
      </c>
      <c r="D1245" t="s">
        <v>7</v>
      </c>
    </row>
    <row r="1246" spans="1:4" x14ac:dyDescent="0.25">
      <c r="A1246" t="s">
        <v>2458</v>
      </c>
      <c r="B1246" t="s">
        <v>1454</v>
      </c>
      <c r="C1246" t="s">
        <v>2459</v>
      </c>
      <c r="D1246" t="s">
        <v>7</v>
      </c>
    </row>
    <row r="1247" spans="1:4" x14ac:dyDescent="0.25">
      <c r="A1247" t="s">
        <v>2460</v>
      </c>
      <c r="B1247" t="s">
        <v>1454</v>
      </c>
      <c r="C1247" t="s">
        <v>2461</v>
      </c>
      <c r="D1247" t="s">
        <v>16</v>
      </c>
    </row>
    <row r="1248" spans="1:4" x14ac:dyDescent="0.25">
      <c r="A1248" t="s">
        <v>2462</v>
      </c>
      <c r="B1248" t="s">
        <v>1454</v>
      </c>
      <c r="C1248" t="s">
        <v>2463</v>
      </c>
      <c r="D1248" t="s">
        <v>16</v>
      </c>
    </row>
    <row r="1249" spans="1:4" x14ac:dyDescent="0.25">
      <c r="A1249" t="s">
        <v>2464</v>
      </c>
      <c r="B1249" t="s">
        <v>1454</v>
      </c>
      <c r="C1249" t="s">
        <v>2465</v>
      </c>
      <c r="D1249" t="s">
        <v>16</v>
      </c>
    </row>
    <row r="1250" spans="1:4" x14ac:dyDescent="0.25">
      <c r="A1250" t="s">
        <v>2466</v>
      </c>
      <c r="B1250" t="s">
        <v>1454</v>
      </c>
      <c r="C1250" t="s">
        <v>2467</v>
      </c>
      <c r="D1250" t="s">
        <v>16</v>
      </c>
    </row>
    <row r="1251" spans="1:4" x14ac:dyDescent="0.25">
      <c r="A1251" t="s">
        <v>2468</v>
      </c>
      <c r="B1251" t="s">
        <v>1454</v>
      </c>
      <c r="C1251" t="s">
        <v>2469</v>
      </c>
      <c r="D1251" t="s">
        <v>16</v>
      </c>
    </row>
    <row r="1252" spans="1:4" x14ac:dyDescent="0.25">
      <c r="A1252" t="s">
        <v>2470</v>
      </c>
      <c r="B1252" t="s">
        <v>1454</v>
      </c>
      <c r="C1252" t="s">
        <v>2471</v>
      </c>
      <c r="D1252" t="s">
        <v>16</v>
      </c>
    </row>
    <row r="1253" spans="1:4" x14ac:dyDescent="0.25">
      <c r="A1253" t="s">
        <v>2472</v>
      </c>
      <c r="B1253" t="s">
        <v>1454</v>
      </c>
      <c r="C1253" t="s">
        <v>2473</v>
      </c>
      <c r="D1253" t="s">
        <v>7</v>
      </c>
    </row>
    <row r="1254" spans="1:4" x14ac:dyDescent="0.25">
      <c r="A1254" t="s">
        <v>2474</v>
      </c>
      <c r="B1254" t="s">
        <v>1454</v>
      </c>
      <c r="C1254" t="s">
        <v>2475</v>
      </c>
      <c r="D1254" t="s">
        <v>7</v>
      </c>
    </row>
    <row r="1255" spans="1:4" x14ac:dyDescent="0.25">
      <c r="A1255" t="s">
        <v>2476</v>
      </c>
      <c r="B1255" t="s">
        <v>1454</v>
      </c>
      <c r="C1255" t="s">
        <v>2477</v>
      </c>
      <c r="D1255" t="s">
        <v>7</v>
      </c>
    </row>
    <row r="1256" spans="1:4" x14ac:dyDescent="0.25">
      <c r="A1256" t="s">
        <v>2478</v>
      </c>
      <c r="B1256" t="s">
        <v>1454</v>
      </c>
      <c r="C1256" t="s">
        <v>2479</v>
      </c>
      <c r="D1256" t="s">
        <v>7</v>
      </c>
    </row>
    <row r="1257" spans="1:4" x14ac:dyDescent="0.25">
      <c r="A1257" t="s">
        <v>2480</v>
      </c>
      <c r="B1257" t="s">
        <v>1454</v>
      </c>
      <c r="C1257" t="s">
        <v>2481</v>
      </c>
      <c r="D1257" t="s">
        <v>7</v>
      </c>
    </row>
    <row r="1258" spans="1:4" x14ac:dyDescent="0.25">
      <c r="A1258" t="s">
        <v>2482</v>
      </c>
      <c r="B1258" t="s">
        <v>1454</v>
      </c>
      <c r="C1258" t="s">
        <v>2483</v>
      </c>
      <c r="D1258" t="s">
        <v>7</v>
      </c>
    </row>
    <row r="1259" spans="1:4" x14ac:dyDescent="0.25">
      <c r="A1259" t="s">
        <v>2484</v>
      </c>
      <c r="B1259" t="s">
        <v>1454</v>
      </c>
      <c r="C1259" t="s">
        <v>2485</v>
      </c>
      <c r="D1259" t="s">
        <v>7</v>
      </c>
    </row>
    <row r="1260" spans="1:4" x14ac:dyDescent="0.25">
      <c r="A1260" t="s">
        <v>2486</v>
      </c>
      <c r="B1260" t="s">
        <v>1454</v>
      </c>
      <c r="C1260" t="s">
        <v>2487</v>
      </c>
      <c r="D1260" t="s">
        <v>7</v>
      </c>
    </row>
    <row r="1261" spans="1:4" x14ac:dyDescent="0.25">
      <c r="A1261" t="s">
        <v>2488</v>
      </c>
      <c r="B1261" t="s">
        <v>1454</v>
      </c>
      <c r="C1261" t="s">
        <v>2489</v>
      </c>
      <c r="D1261" t="s">
        <v>7</v>
      </c>
    </row>
    <row r="1262" spans="1:4" x14ac:dyDescent="0.25">
      <c r="A1262" t="s">
        <v>2490</v>
      </c>
      <c r="B1262" t="s">
        <v>1454</v>
      </c>
      <c r="C1262" t="s">
        <v>2491</v>
      </c>
      <c r="D1262" t="s">
        <v>106</v>
      </c>
    </row>
    <row r="1263" spans="1:4" x14ac:dyDescent="0.25">
      <c r="A1263" t="s">
        <v>2492</v>
      </c>
      <c r="B1263" t="s">
        <v>1454</v>
      </c>
      <c r="C1263" t="s">
        <v>2493</v>
      </c>
      <c r="D1263" t="s">
        <v>106</v>
      </c>
    </row>
    <row r="1264" spans="1:4" x14ac:dyDescent="0.25">
      <c r="A1264" t="s">
        <v>2494</v>
      </c>
      <c r="B1264" t="s">
        <v>1454</v>
      </c>
      <c r="C1264" t="s">
        <v>2495</v>
      </c>
      <c r="D1264" t="s">
        <v>106</v>
      </c>
    </row>
    <row r="1265" spans="1:4" x14ac:dyDescent="0.25">
      <c r="A1265" t="s">
        <v>2496</v>
      </c>
      <c r="B1265" t="s">
        <v>1454</v>
      </c>
      <c r="C1265" t="s">
        <v>2497</v>
      </c>
      <c r="D1265" t="s">
        <v>106</v>
      </c>
    </row>
    <row r="1266" spans="1:4" x14ac:dyDescent="0.25">
      <c r="A1266" t="s">
        <v>2498</v>
      </c>
      <c r="B1266" t="s">
        <v>1454</v>
      </c>
      <c r="C1266" t="s">
        <v>2499</v>
      </c>
      <c r="D1266" t="s">
        <v>106</v>
      </c>
    </row>
    <row r="1267" spans="1:4" x14ac:dyDescent="0.25">
      <c r="A1267" t="s">
        <v>2500</v>
      </c>
      <c r="B1267" t="s">
        <v>1454</v>
      </c>
      <c r="C1267" t="s">
        <v>2501</v>
      </c>
      <c r="D1267" t="s">
        <v>106</v>
      </c>
    </row>
    <row r="1268" spans="1:4" x14ac:dyDescent="0.25">
      <c r="A1268" t="s">
        <v>2502</v>
      </c>
      <c r="B1268" t="s">
        <v>1454</v>
      </c>
      <c r="C1268" t="s">
        <v>2503</v>
      </c>
      <c r="D1268" t="s">
        <v>106</v>
      </c>
    </row>
    <row r="1269" spans="1:4" x14ac:dyDescent="0.25">
      <c r="A1269" t="s">
        <v>2504</v>
      </c>
      <c r="B1269" t="s">
        <v>1454</v>
      </c>
      <c r="C1269" t="s">
        <v>2505</v>
      </c>
      <c r="D1269" t="s">
        <v>106</v>
      </c>
    </row>
    <row r="1270" spans="1:4" x14ac:dyDescent="0.25">
      <c r="A1270" t="s">
        <v>2506</v>
      </c>
      <c r="B1270" t="s">
        <v>1454</v>
      </c>
      <c r="C1270" t="s">
        <v>2507</v>
      </c>
      <c r="D1270" t="s">
        <v>8</v>
      </c>
    </row>
    <row r="1271" spans="1:4" x14ac:dyDescent="0.25">
      <c r="A1271" t="s">
        <v>2508</v>
      </c>
      <c r="B1271" t="s">
        <v>1454</v>
      </c>
      <c r="C1271" t="s">
        <v>2509</v>
      </c>
      <c r="D1271" t="s">
        <v>8</v>
      </c>
    </row>
    <row r="1272" spans="1:4" x14ac:dyDescent="0.25">
      <c r="A1272" t="s">
        <v>2510</v>
      </c>
      <c r="B1272" t="s">
        <v>1454</v>
      </c>
      <c r="C1272" t="s">
        <v>2511</v>
      </c>
      <c r="D1272" t="s">
        <v>8</v>
      </c>
    </row>
    <row r="1273" spans="1:4" x14ac:dyDescent="0.25">
      <c r="A1273" t="s">
        <v>2512</v>
      </c>
      <c r="B1273" t="s">
        <v>1454</v>
      </c>
      <c r="C1273" t="s">
        <v>2513</v>
      </c>
      <c r="D1273" t="s">
        <v>7</v>
      </c>
    </row>
    <row r="1274" spans="1:4" x14ac:dyDescent="0.25">
      <c r="A1274" t="s">
        <v>2514</v>
      </c>
      <c r="B1274" t="s">
        <v>1454</v>
      </c>
      <c r="C1274" t="s">
        <v>2515</v>
      </c>
      <c r="D1274" t="s">
        <v>7</v>
      </c>
    </row>
    <row r="1275" spans="1:4" x14ac:dyDescent="0.25">
      <c r="A1275" t="s">
        <v>2516</v>
      </c>
      <c r="B1275" t="s">
        <v>1454</v>
      </c>
      <c r="C1275" t="s">
        <v>2517</v>
      </c>
      <c r="D1275" t="s">
        <v>7</v>
      </c>
    </row>
    <row r="1276" spans="1:4" x14ac:dyDescent="0.25">
      <c r="A1276" t="s">
        <v>2518</v>
      </c>
      <c r="B1276" t="s">
        <v>1454</v>
      </c>
      <c r="C1276" t="s">
        <v>2519</v>
      </c>
      <c r="D1276" t="s">
        <v>7</v>
      </c>
    </row>
    <row r="1277" spans="1:4" x14ac:dyDescent="0.25">
      <c r="A1277" t="s">
        <v>2520</v>
      </c>
      <c r="B1277" t="s">
        <v>1454</v>
      </c>
      <c r="C1277" t="s">
        <v>2521</v>
      </c>
      <c r="D1277" t="s">
        <v>7</v>
      </c>
    </row>
    <row r="1278" spans="1:4" x14ac:dyDescent="0.25">
      <c r="A1278" t="s">
        <v>2522</v>
      </c>
      <c r="B1278" t="s">
        <v>1454</v>
      </c>
      <c r="C1278" t="s">
        <v>2523</v>
      </c>
      <c r="D1278" t="s">
        <v>16</v>
      </c>
    </row>
    <row r="1279" spans="1:4" x14ac:dyDescent="0.25">
      <c r="A1279" t="s">
        <v>2524</v>
      </c>
      <c r="B1279" t="s">
        <v>1454</v>
      </c>
      <c r="C1279" t="s">
        <v>2525</v>
      </c>
      <c r="D1279" t="s">
        <v>16</v>
      </c>
    </row>
    <row r="1280" spans="1:4" x14ac:dyDescent="0.25">
      <c r="A1280" t="s">
        <v>2526</v>
      </c>
      <c r="B1280" t="s">
        <v>1454</v>
      </c>
      <c r="C1280" t="s">
        <v>2527</v>
      </c>
      <c r="D1280" t="s">
        <v>7</v>
      </c>
    </row>
    <row r="1281" spans="1:4" x14ac:dyDescent="0.25">
      <c r="A1281" t="s">
        <v>2528</v>
      </c>
      <c r="B1281" t="s">
        <v>1454</v>
      </c>
      <c r="C1281" t="s">
        <v>2529</v>
      </c>
      <c r="D1281" t="s">
        <v>7</v>
      </c>
    </row>
    <row r="1282" spans="1:4" x14ac:dyDescent="0.25">
      <c r="A1282" t="s">
        <v>2530</v>
      </c>
      <c r="B1282" t="s">
        <v>1454</v>
      </c>
      <c r="C1282" t="s">
        <v>2531</v>
      </c>
      <c r="D1282" t="s">
        <v>106</v>
      </c>
    </row>
    <row r="1283" spans="1:4" x14ac:dyDescent="0.25">
      <c r="A1283" t="s">
        <v>2532</v>
      </c>
      <c r="B1283" t="s">
        <v>1454</v>
      </c>
      <c r="C1283" t="s">
        <v>2533</v>
      </c>
      <c r="D1283" t="s">
        <v>7</v>
      </c>
    </row>
    <row r="1284" spans="1:4" x14ac:dyDescent="0.25">
      <c r="A1284" t="s">
        <v>2534</v>
      </c>
      <c r="B1284" t="s">
        <v>1454</v>
      </c>
      <c r="C1284" t="s">
        <v>2535</v>
      </c>
      <c r="D1284" t="s">
        <v>16</v>
      </c>
    </row>
    <row r="1285" spans="1:4" x14ac:dyDescent="0.25">
      <c r="A1285" t="s">
        <v>2536</v>
      </c>
      <c r="B1285" t="s">
        <v>1454</v>
      </c>
      <c r="C1285" t="s">
        <v>2537</v>
      </c>
      <c r="D1285" t="s">
        <v>106</v>
      </c>
    </row>
    <row r="1286" spans="1:4" x14ac:dyDescent="0.25">
      <c r="A1286" t="s">
        <v>2538</v>
      </c>
      <c r="B1286" t="s">
        <v>1454</v>
      </c>
      <c r="C1286" t="s">
        <v>2539</v>
      </c>
      <c r="D1286" t="s">
        <v>16</v>
      </c>
    </row>
    <row r="1287" spans="1:4" x14ac:dyDescent="0.25">
      <c r="A1287" t="s">
        <v>2540</v>
      </c>
      <c r="B1287" t="s">
        <v>1454</v>
      </c>
      <c r="C1287" t="s">
        <v>2541</v>
      </c>
      <c r="D1287" t="s">
        <v>16</v>
      </c>
    </row>
    <row r="1288" spans="1:4" x14ac:dyDescent="0.25">
      <c r="A1288" t="s">
        <v>2542</v>
      </c>
      <c r="B1288" t="s">
        <v>1454</v>
      </c>
      <c r="C1288" t="s">
        <v>2543</v>
      </c>
      <c r="D1288" t="s">
        <v>7</v>
      </c>
    </row>
    <row r="1289" spans="1:4" x14ac:dyDescent="0.25">
      <c r="A1289" t="s">
        <v>2544</v>
      </c>
      <c r="B1289" t="s">
        <v>1454</v>
      </c>
      <c r="C1289" t="s">
        <v>2545</v>
      </c>
      <c r="D1289" t="s">
        <v>7</v>
      </c>
    </row>
    <row r="1290" spans="1:4" x14ac:dyDescent="0.25">
      <c r="A1290" t="s">
        <v>2546</v>
      </c>
      <c r="B1290" t="s">
        <v>1454</v>
      </c>
      <c r="C1290" t="s">
        <v>2547</v>
      </c>
      <c r="D1290" t="s">
        <v>106</v>
      </c>
    </row>
    <row r="1291" spans="1:4" x14ac:dyDescent="0.25">
      <c r="A1291" t="s">
        <v>2548</v>
      </c>
      <c r="B1291" t="s">
        <v>1454</v>
      </c>
      <c r="C1291" t="s">
        <v>2549</v>
      </c>
      <c r="D1291" t="s">
        <v>7</v>
      </c>
    </row>
    <row r="1292" spans="1:4" x14ac:dyDescent="0.25">
      <c r="A1292" t="s">
        <v>2550</v>
      </c>
      <c r="B1292" t="s">
        <v>1454</v>
      </c>
      <c r="C1292" t="s">
        <v>2551</v>
      </c>
      <c r="D1292" t="s">
        <v>7</v>
      </c>
    </row>
    <row r="1293" spans="1:4" x14ac:dyDescent="0.25">
      <c r="A1293" t="s">
        <v>2552</v>
      </c>
      <c r="B1293" t="s">
        <v>1454</v>
      </c>
      <c r="C1293" t="s">
        <v>2553</v>
      </c>
      <c r="D1293" t="s">
        <v>7</v>
      </c>
    </row>
    <row r="1294" spans="1:4" x14ac:dyDescent="0.25">
      <c r="A1294" t="s">
        <v>2554</v>
      </c>
      <c r="B1294" t="s">
        <v>1454</v>
      </c>
      <c r="C1294" t="s">
        <v>2555</v>
      </c>
      <c r="D1294" t="s">
        <v>7</v>
      </c>
    </row>
    <row r="1295" spans="1:4" x14ac:dyDescent="0.25">
      <c r="A1295" t="s">
        <v>2556</v>
      </c>
      <c r="B1295" t="s">
        <v>1454</v>
      </c>
      <c r="C1295" t="s">
        <v>2557</v>
      </c>
      <c r="D1295" t="s">
        <v>106</v>
      </c>
    </row>
    <row r="1296" spans="1:4" x14ac:dyDescent="0.25">
      <c r="A1296" t="s">
        <v>2558</v>
      </c>
      <c r="B1296" t="s">
        <v>1454</v>
      </c>
      <c r="C1296" t="s">
        <v>2559</v>
      </c>
      <c r="D1296" t="s">
        <v>106</v>
      </c>
    </row>
    <row r="1297" spans="1:4" x14ac:dyDescent="0.25">
      <c r="A1297" t="s">
        <v>2560</v>
      </c>
      <c r="B1297" t="s">
        <v>1454</v>
      </c>
      <c r="C1297" t="s">
        <v>2561</v>
      </c>
      <c r="D1297" t="s">
        <v>106</v>
      </c>
    </row>
    <row r="1298" spans="1:4" x14ac:dyDescent="0.25">
      <c r="A1298" t="s">
        <v>2562</v>
      </c>
      <c r="B1298" t="s">
        <v>1454</v>
      </c>
      <c r="C1298" t="s">
        <v>2563</v>
      </c>
      <c r="D1298" t="s">
        <v>106</v>
      </c>
    </row>
    <row r="1299" spans="1:4" x14ac:dyDescent="0.25">
      <c r="A1299" t="s">
        <v>2564</v>
      </c>
      <c r="B1299" t="s">
        <v>1454</v>
      </c>
      <c r="C1299" t="s">
        <v>2565</v>
      </c>
      <c r="D1299" t="s">
        <v>106</v>
      </c>
    </row>
    <row r="1300" spans="1:4" x14ac:dyDescent="0.25">
      <c r="A1300" t="s">
        <v>2566</v>
      </c>
      <c r="B1300" t="s">
        <v>1454</v>
      </c>
      <c r="C1300" t="s">
        <v>2567</v>
      </c>
      <c r="D1300" t="s">
        <v>16</v>
      </c>
    </row>
    <row r="1301" spans="1:4" x14ac:dyDescent="0.25">
      <c r="A1301" t="s">
        <v>2568</v>
      </c>
      <c r="B1301" t="s">
        <v>1454</v>
      </c>
      <c r="C1301" t="s">
        <v>2569</v>
      </c>
      <c r="D1301" t="s">
        <v>16</v>
      </c>
    </row>
    <row r="1302" spans="1:4" x14ac:dyDescent="0.25">
      <c r="A1302" t="s">
        <v>2570</v>
      </c>
      <c r="B1302" t="s">
        <v>1454</v>
      </c>
      <c r="C1302" t="s">
        <v>2571</v>
      </c>
      <c r="D1302" t="s">
        <v>16</v>
      </c>
    </row>
    <row r="1303" spans="1:4" x14ac:dyDescent="0.25">
      <c r="A1303" t="s">
        <v>2572</v>
      </c>
      <c r="B1303" t="s">
        <v>1454</v>
      </c>
      <c r="C1303" t="s">
        <v>2573</v>
      </c>
      <c r="D1303" t="s">
        <v>8</v>
      </c>
    </row>
    <row r="1304" spans="1:4" x14ac:dyDescent="0.25">
      <c r="A1304" t="s">
        <v>2574</v>
      </c>
      <c r="B1304" t="s">
        <v>1454</v>
      </c>
      <c r="C1304" t="s">
        <v>2575</v>
      </c>
      <c r="D1304" t="s">
        <v>8</v>
      </c>
    </row>
    <row r="1305" spans="1:4" x14ac:dyDescent="0.25">
      <c r="A1305" t="s">
        <v>2576</v>
      </c>
      <c r="B1305" t="s">
        <v>1454</v>
      </c>
      <c r="C1305" t="s">
        <v>2577</v>
      </c>
      <c r="D1305" t="s">
        <v>8</v>
      </c>
    </row>
    <row r="1306" spans="1:4" x14ac:dyDescent="0.25">
      <c r="A1306" t="s">
        <v>2578</v>
      </c>
      <c r="B1306" t="s">
        <v>1454</v>
      </c>
      <c r="C1306" t="s">
        <v>2579</v>
      </c>
      <c r="D1306" t="s">
        <v>7</v>
      </c>
    </row>
    <row r="1307" spans="1:4" x14ac:dyDescent="0.25">
      <c r="A1307" t="s">
        <v>2580</v>
      </c>
      <c r="B1307" t="s">
        <v>1454</v>
      </c>
      <c r="C1307" t="s">
        <v>2581</v>
      </c>
      <c r="D1307" t="s">
        <v>7</v>
      </c>
    </row>
    <row r="1308" spans="1:4" x14ac:dyDescent="0.25">
      <c r="A1308" t="s">
        <v>2582</v>
      </c>
      <c r="B1308" t="s">
        <v>1454</v>
      </c>
      <c r="C1308" t="s">
        <v>2583</v>
      </c>
      <c r="D1308" t="s">
        <v>7</v>
      </c>
    </row>
    <row r="1309" spans="1:4" x14ac:dyDescent="0.25">
      <c r="A1309" t="s">
        <v>2584</v>
      </c>
      <c r="B1309" t="s">
        <v>1454</v>
      </c>
      <c r="C1309" t="s">
        <v>2585</v>
      </c>
      <c r="D1309" t="s">
        <v>7</v>
      </c>
    </row>
    <row r="1310" spans="1:4" x14ac:dyDescent="0.25">
      <c r="A1310" t="s">
        <v>2586</v>
      </c>
      <c r="B1310" t="s">
        <v>1454</v>
      </c>
      <c r="C1310" t="s">
        <v>2587</v>
      </c>
      <c r="D1310" t="s">
        <v>7</v>
      </c>
    </row>
    <row r="1311" spans="1:4" x14ac:dyDescent="0.25">
      <c r="A1311" t="s">
        <v>2588</v>
      </c>
      <c r="B1311" t="s">
        <v>1454</v>
      </c>
      <c r="C1311" t="s">
        <v>2589</v>
      </c>
      <c r="D1311" t="s">
        <v>7</v>
      </c>
    </row>
    <row r="1312" spans="1:4" x14ac:dyDescent="0.25">
      <c r="A1312" t="s">
        <v>2590</v>
      </c>
      <c r="B1312" t="s">
        <v>1454</v>
      </c>
      <c r="C1312" t="s">
        <v>2591</v>
      </c>
      <c r="D1312" t="s">
        <v>7</v>
      </c>
    </row>
    <row r="1313" spans="1:4" x14ac:dyDescent="0.25">
      <c r="A1313" t="s">
        <v>2592</v>
      </c>
      <c r="B1313" t="s">
        <v>1454</v>
      </c>
      <c r="C1313" t="s">
        <v>2593</v>
      </c>
      <c r="D1313" t="s">
        <v>7</v>
      </c>
    </row>
    <row r="1314" spans="1:4" x14ac:dyDescent="0.25">
      <c r="A1314" t="s">
        <v>2594</v>
      </c>
      <c r="B1314" t="s">
        <v>1454</v>
      </c>
      <c r="C1314" t="s">
        <v>2595</v>
      </c>
      <c r="D1314" t="s">
        <v>7</v>
      </c>
    </row>
    <row r="1315" spans="1:4" x14ac:dyDescent="0.25">
      <c r="A1315" t="s">
        <v>2596</v>
      </c>
      <c r="B1315" t="s">
        <v>1454</v>
      </c>
      <c r="C1315" t="s">
        <v>2597</v>
      </c>
      <c r="D1315" t="s">
        <v>7</v>
      </c>
    </row>
    <row r="1316" spans="1:4" x14ac:dyDescent="0.25">
      <c r="A1316" t="s">
        <v>2598</v>
      </c>
      <c r="B1316" t="s">
        <v>1454</v>
      </c>
      <c r="C1316" t="s">
        <v>2599</v>
      </c>
      <c r="D1316" t="s">
        <v>7</v>
      </c>
    </row>
    <row r="1317" spans="1:4" x14ac:dyDescent="0.25">
      <c r="A1317" t="s">
        <v>2600</v>
      </c>
      <c r="B1317" t="s">
        <v>1454</v>
      </c>
      <c r="C1317" t="s">
        <v>2601</v>
      </c>
      <c r="D1317" t="s">
        <v>7</v>
      </c>
    </row>
    <row r="1318" spans="1:4" x14ac:dyDescent="0.25">
      <c r="A1318" t="s">
        <v>2602</v>
      </c>
      <c r="B1318" t="s">
        <v>1454</v>
      </c>
      <c r="C1318" t="s">
        <v>2603</v>
      </c>
      <c r="D1318" t="s">
        <v>7</v>
      </c>
    </row>
    <row r="1319" spans="1:4" x14ac:dyDescent="0.25">
      <c r="A1319" t="s">
        <v>2604</v>
      </c>
      <c r="B1319" t="s">
        <v>1454</v>
      </c>
      <c r="C1319" t="s">
        <v>2605</v>
      </c>
      <c r="D1319" t="s">
        <v>7</v>
      </c>
    </row>
    <row r="1320" spans="1:4" x14ac:dyDescent="0.25">
      <c r="A1320" t="s">
        <v>2606</v>
      </c>
      <c r="B1320" t="s">
        <v>1454</v>
      </c>
      <c r="C1320" t="s">
        <v>2607</v>
      </c>
      <c r="D1320" t="s">
        <v>7</v>
      </c>
    </row>
    <row r="1321" spans="1:4" x14ac:dyDescent="0.25">
      <c r="A1321" t="s">
        <v>2608</v>
      </c>
      <c r="B1321" t="s">
        <v>1454</v>
      </c>
      <c r="C1321" t="s">
        <v>2609</v>
      </c>
      <c r="D1321" t="s">
        <v>7</v>
      </c>
    </row>
    <row r="1322" spans="1:4" x14ac:dyDescent="0.25">
      <c r="A1322" t="s">
        <v>2610</v>
      </c>
      <c r="B1322" t="s">
        <v>1454</v>
      </c>
      <c r="C1322" t="s">
        <v>2611</v>
      </c>
      <c r="D1322" t="s">
        <v>7</v>
      </c>
    </row>
    <row r="1323" spans="1:4" x14ac:dyDescent="0.25">
      <c r="A1323" t="s">
        <v>2612</v>
      </c>
      <c r="B1323" t="s">
        <v>1454</v>
      </c>
      <c r="C1323" t="s">
        <v>2613</v>
      </c>
      <c r="D1323" t="s">
        <v>7</v>
      </c>
    </row>
    <row r="1324" spans="1:4" x14ac:dyDescent="0.25">
      <c r="A1324" t="s">
        <v>2614</v>
      </c>
      <c r="B1324" t="s">
        <v>1454</v>
      </c>
      <c r="C1324" t="s">
        <v>2615</v>
      </c>
      <c r="D1324" t="s">
        <v>7</v>
      </c>
    </row>
    <row r="1325" spans="1:4" x14ac:dyDescent="0.25">
      <c r="A1325" t="s">
        <v>2616</v>
      </c>
      <c r="B1325" t="s">
        <v>1454</v>
      </c>
      <c r="C1325" t="s">
        <v>2617</v>
      </c>
      <c r="D1325" t="s">
        <v>7</v>
      </c>
    </row>
    <row r="1326" spans="1:4" x14ac:dyDescent="0.25">
      <c r="A1326" t="s">
        <v>2618</v>
      </c>
      <c r="B1326" t="s">
        <v>1454</v>
      </c>
      <c r="C1326" t="s">
        <v>2619</v>
      </c>
      <c r="D1326" t="s">
        <v>7</v>
      </c>
    </row>
    <row r="1327" spans="1:4" x14ac:dyDescent="0.25">
      <c r="A1327" t="s">
        <v>2620</v>
      </c>
      <c r="B1327" t="s">
        <v>1454</v>
      </c>
      <c r="C1327" t="s">
        <v>2621</v>
      </c>
      <c r="D1327" t="s">
        <v>7</v>
      </c>
    </row>
    <row r="1328" spans="1:4" x14ac:dyDescent="0.25">
      <c r="A1328" t="s">
        <v>2622</v>
      </c>
      <c r="B1328" t="s">
        <v>1454</v>
      </c>
      <c r="C1328" t="s">
        <v>2623</v>
      </c>
      <c r="D1328" t="s">
        <v>16</v>
      </c>
    </row>
    <row r="1329" spans="1:4" x14ac:dyDescent="0.25">
      <c r="A1329" t="s">
        <v>2624</v>
      </c>
      <c r="B1329" t="s">
        <v>1454</v>
      </c>
      <c r="C1329" t="s">
        <v>2625</v>
      </c>
      <c r="D1329" t="s">
        <v>16</v>
      </c>
    </row>
    <row r="1330" spans="1:4" x14ac:dyDescent="0.25">
      <c r="A1330" t="s">
        <v>2626</v>
      </c>
      <c r="B1330" t="s">
        <v>1454</v>
      </c>
      <c r="C1330" t="s">
        <v>2627</v>
      </c>
      <c r="D1330" t="s">
        <v>16</v>
      </c>
    </row>
    <row r="1331" spans="1:4" x14ac:dyDescent="0.25">
      <c r="A1331" t="s">
        <v>2628</v>
      </c>
      <c r="B1331" t="s">
        <v>1454</v>
      </c>
      <c r="C1331" t="s">
        <v>2629</v>
      </c>
      <c r="D1331" t="s">
        <v>7</v>
      </c>
    </row>
    <row r="1332" spans="1:4" x14ac:dyDescent="0.25">
      <c r="A1332" t="s">
        <v>2630</v>
      </c>
      <c r="B1332" t="s">
        <v>1454</v>
      </c>
      <c r="C1332" t="s">
        <v>2631</v>
      </c>
      <c r="D1332" t="s">
        <v>7</v>
      </c>
    </row>
    <row r="1333" spans="1:4" x14ac:dyDescent="0.25">
      <c r="A1333" t="s">
        <v>2632</v>
      </c>
      <c r="B1333" t="s">
        <v>1454</v>
      </c>
      <c r="C1333" t="s">
        <v>2633</v>
      </c>
      <c r="D1333" t="s">
        <v>7</v>
      </c>
    </row>
    <row r="1334" spans="1:4" x14ac:dyDescent="0.25">
      <c r="A1334" t="s">
        <v>2634</v>
      </c>
      <c r="B1334" t="s">
        <v>1454</v>
      </c>
      <c r="C1334" t="s">
        <v>2635</v>
      </c>
      <c r="D1334" t="s">
        <v>16</v>
      </c>
    </row>
    <row r="1335" spans="1:4" x14ac:dyDescent="0.25">
      <c r="A1335" t="s">
        <v>2636</v>
      </c>
      <c r="B1335" t="s">
        <v>1454</v>
      </c>
      <c r="C1335" t="s">
        <v>2637</v>
      </c>
      <c r="D1335" t="s">
        <v>16</v>
      </c>
    </row>
    <row r="1336" spans="1:4" x14ac:dyDescent="0.25">
      <c r="A1336" t="s">
        <v>2638</v>
      </c>
      <c r="B1336" t="s">
        <v>1454</v>
      </c>
      <c r="C1336" t="s">
        <v>2639</v>
      </c>
      <c r="D1336" t="s">
        <v>16</v>
      </c>
    </row>
    <row r="1337" spans="1:4" x14ac:dyDescent="0.25">
      <c r="A1337" t="s">
        <v>2640</v>
      </c>
      <c r="B1337" t="s">
        <v>1454</v>
      </c>
      <c r="C1337" t="s">
        <v>2641</v>
      </c>
      <c r="D1337" t="s">
        <v>106</v>
      </c>
    </row>
    <row r="1338" spans="1:4" x14ac:dyDescent="0.25">
      <c r="A1338" t="s">
        <v>2642</v>
      </c>
      <c r="B1338" t="s">
        <v>1454</v>
      </c>
      <c r="C1338" t="s">
        <v>2643</v>
      </c>
      <c r="D1338" t="s">
        <v>106</v>
      </c>
    </row>
    <row r="1339" spans="1:4" x14ac:dyDescent="0.25">
      <c r="A1339" t="s">
        <v>2644</v>
      </c>
      <c r="B1339" t="s">
        <v>1454</v>
      </c>
      <c r="C1339" t="s">
        <v>2645</v>
      </c>
      <c r="D1339" t="s">
        <v>106</v>
      </c>
    </row>
    <row r="1340" spans="1:4" x14ac:dyDescent="0.25">
      <c r="A1340" t="s">
        <v>2646</v>
      </c>
      <c r="B1340" t="s">
        <v>1454</v>
      </c>
      <c r="C1340" t="s">
        <v>2647</v>
      </c>
      <c r="D1340" t="s">
        <v>106</v>
      </c>
    </row>
    <row r="1341" spans="1:4" x14ac:dyDescent="0.25">
      <c r="A1341" t="s">
        <v>2648</v>
      </c>
      <c r="B1341" t="s">
        <v>1454</v>
      </c>
      <c r="C1341" t="s">
        <v>2649</v>
      </c>
      <c r="D1341" t="s">
        <v>106</v>
      </c>
    </row>
    <row r="1342" spans="1:4" x14ac:dyDescent="0.25">
      <c r="A1342" t="s">
        <v>2650</v>
      </c>
      <c r="B1342" t="s">
        <v>1454</v>
      </c>
      <c r="C1342" t="s">
        <v>2651</v>
      </c>
      <c r="D1342" t="s">
        <v>16</v>
      </c>
    </row>
    <row r="1343" spans="1:4" x14ac:dyDescent="0.25">
      <c r="A1343" t="s">
        <v>2652</v>
      </c>
      <c r="B1343" t="s">
        <v>1454</v>
      </c>
      <c r="C1343" t="s">
        <v>2653</v>
      </c>
      <c r="D1343" t="s">
        <v>106</v>
      </c>
    </row>
    <row r="1344" spans="1:4" x14ac:dyDescent="0.25">
      <c r="A1344" t="s">
        <v>2654</v>
      </c>
      <c r="B1344" t="s">
        <v>1454</v>
      </c>
      <c r="C1344" t="s">
        <v>2655</v>
      </c>
      <c r="D1344" t="s">
        <v>106</v>
      </c>
    </row>
    <row r="1345" spans="1:4" x14ac:dyDescent="0.25">
      <c r="A1345" t="s">
        <v>2656</v>
      </c>
      <c r="B1345" t="s">
        <v>1454</v>
      </c>
      <c r="C1345" t="s">
        <v>2657</v>
      </c>
      <c r="D1345" t="s">
        <v>106</v>
      </c>
    </row>
    <row r="1346" spans="1:4" x14ac:dyDescent="0.25">
      <c r="A1346" t="s">
        <v>2658</v>
      </c>
      <c r="B1346" t="s">
        <v>1454</v>
      </c>
      <c r="C1346" t="s">
        <v>2659</v>
      </c>
      <c r="D1346" t="s">
        <v>16</v>
      </c>
    </row>
    <row r="1347" spans="1:4" x14ac:dyDescent="0.25">
      <c r="A1347" t="s">
        <v>2660</v>
      </c>
      <c r="B1347" t="s">
        <v>1454</v>
      </c>
      <c r="C1347" t="s">
        <v>2661</v>
      </c>
      <c r="D1347" t="s">
        <v>16</v>
      </c>
    </row>
    <row r="1348" spans="1:4" x14ac:dyDescent="0.25">
      <c r="A1348" t="s">
        <v>2662</v>
      </c>
      <c r="B1348" t="s">
        <v>1454</v>
      </c>
      <c r="C1348" t="s">
        <v>2663</v>
      </c>
      <c r="D1348" t="s">
        <v>7</v>
      </c>
    </row>
    <row r="1349" spans="1:4" x14ac:dyDescent="0.25">
      <c r="A1349" t="s">
        <v>2664</v>
      </c>
      <c r="B1349" t="s">
        <v>1454</v>
      </c>
      <c r="C1349" t="s">
        <v>2665</v>
      </c>
      <c r="D1349" t="s">
        <v>7</v>
      </c>
    </row>
    <row r="1350" spans="1:4" x14ac:dyDescent="0.25">
      <c r="A1350" t="s">
        <v>2666</v>
      </c>
      <c r="B1350" t="s">
        <v>1454</v>
      </c>
      <c r="C1350" t="s">
        <v>2667</v>
      </c>
      <c r="D1350" t="s">
        <v>7</v>
      </c>
    </row>
    <row r="1351" spans="1:4" x14ac:dyDescent="0.25">
      <c r="A1351" t="s">
        <v>2668</v>
      </c>
      <c r="B1351" t="s">
        <v>1454</v>
      </c>
      <c r="C1351" t="s">
        <v>2669</v>
      </c>
      <c r="D1351" t="s">
        <v>7</v>
      </c>
    </row>
    <row r="1352" spans="1:4" x14ac:dyDescent="0.25">
      <c r="A1352" t="s">
        <v>2670</v>
      </c>
      <c r="B1352" t="s">
        <v>1454</v>
      </c>
      <c r="C1352" t="s">
        <v>2671</v>
      </c>
      <c r="D1352" t="s">
        <v>7</v>
      </c>
    </row>
    <row r="1353" spans="1:4" x14ac:dyDescent="0.25">
      <c r="A1353" t="s">
        <v>2672</v>
      </c>
      <c r="B1353" t="s">
        <v>1454</v>
      </c>
      <c r="C1353" t="s">
        <v>2673</v>
      </c>
      <c r="D1353" t="s">
        <v>7</v>
      </c>
    </row>
    <row r="1354" spans="1:4" x14ac:dyDescent="0.25">
      <c r="A1354" t="s">
        <v>2674</v>
      </c>
      <c r="B1354" t="s">
        <v>1454</v>
      </c>
      <c r="C1354" t="s">
        <v>2675</v>
      </c>
      <c r="D1354" t="s">
        <v>7</v>
      </c>
    </row>
    <row r="1355" spans="1:4" x14ac:dyDescent="0.25">
      <c r="A1355" t="s">
        <v>2676</v>
      </c>
      <c r="B1355" t="s">
        <v>1454</v>
      </c>
      <c r="C1355" t="s">
        <v>2677</v>
      </c>
      <c r="D1355" t="s">
        <v>16</v>
      </c>
    </row>
    <row r="1356" spans="1:4" x14ac:dyDescent="0.25">
      <c r="A1356" t="s">
        <v>2678</v>
      </c>
      <c r="B1356" t="s">
        <v>1454</v>
      </c>
      <c r="C1356" t="s">
        <v>2679</v>
      </c>
      <c r="D1356" t="s">
        <v>16</v>
      </c>
    </row>
    <row r="1357" spans="1:4" x14ac:dyDescent="0.25">
      <c r="A1357" t="s">
        <v>2680</v>
      </c>
      <c r="B1357" t="s">
        <v>1454</v>
      </c>
      <c r="C1357" t="s">
        <v>2681</v>
      </c>
      <c r="D1357" t="s">
        <v>16</v>
      </c>
    </row>
    <row r="1358" spans="1:4" x14ac:dyDescent="0.25">
      <c r="A1358" t="s">
        <v>2682</v>
      </c>
      <c r="B1358" t="s">
        <v>1454</v>
      </c>
      <c r="C1358" t="s">
        <v>2683</v>
      </c>
      <c r="D1358" t="s">
        <v>16</v>
      </c>
    </row>
    <row r="1359" spans="1:4" x14ac:dyDescent="0.25">
      <c r="A1359" t="s">
        <v>2684</v>
      </c>
      <c r="B1359" t="s">
        <v>1454</v>
      </c>
      <c r="C1359" t="s">
        <v>2685</v>
      </c>
      <c r="D1359" t="s">
        <v>7</v>
      </c>
    </row>
    <row r="1360" spans="1:4" x14ac:dyDescent="0.25">
      <c r="A1360" t="s">
        <v>2686</v>
      </c>
      <c r="B1360" t="s">
        <v>1454</v>
      </c>
      <c r="C1360" t="s">
        <v>2687</v>
      </c>
      <c r="D1360" t="s">
        <v>7</v>
      </c>
    </row>
    <row r="1361" spans="1:4" x14ac:dyDescent="0.25">
      <c r="A1361" t="s">
        <v>2688</v>
      </c>
      <c r="B1361" t="s">
        <v>1454</v>
      </c>
      <c r="C1361" t="s">
        <v>2689</v>
      </c>
      <c r="D1361" t="s">
        <v>7</v>
      </c>
    </row>
    <row r="1362" spans="1:4" x14ac:dyDescent="0.25">
      <c r="A1362" t="s">
        <v>2690</v>
      </c>
      <c r="B1362" t="s">
        <v>1454</v>
      </c>
      <c r="C1362" t="s">
        <v>2691</v>
      </c>
      <c r="D1362" t="s">
        <v>7</v>
      </c>
    </row>
    <row r="1363" spans="1:4" x14ac:dyDescent="0.25">
      <c r="A1363" t="s">
        <v>2692</v>
      </c>
      <c r="B1363" t="s">
        <v>1454</v>
      </c>
      <c r="C1363" t="s">
        <v>2693</v>
      </c>
      <c r="D1363" t="s">
        <v>7</v>
      </c>
    </row>
    <row r="1364" spans="1:4" x14ac:dyDescent="0.25">
      <c r="A1364" t="s">
        <v>2694</v>
      </c>
      <c r="B1364" t="s">
        <v>1454</v>
      </c>
      <c r="C1364" t="s">
        <v>2695</v>
      </c>
      <c r="D1364" t="s">
        <v>7</v>
      </c>
    </row>
    <row r="1365" spans="1:4" x14ac:dyDescent="0.25">
      <c r="A1365" t="s">
        <v>2696</v>
      </c>
      <c r="B1365" t="s">
        <v>1454</v>
      </c>
      <c r="C1365" t="s">
        <v>2697</v>
      </c>
      <c r="D1365" t="s">
        <v>7</v>
      </c>
    </row>
    <row r="1366" spans="1:4" x14ac:dyDescent="0.25">
      <c r="A1366" t="s">
        <v>2698</v>
      </c>
      <c r="B1366" t="s">
        <v>1454</v>
      </c>
      <c r="C1366" t="s">
        <v>2699</v>
      </c>
      <c r="D1366" t="s">
        <v>7</v>
      </c>
    </row>
    <row r="1367" spans="1:4" x14ac:dyDescent="0.25">
      <c r="A1367" t="s">
        <v>2700</v>
      </c>
      <c r="B1367" t="s">
        <v>1454</v>
      </c>
      <c r="C1367" t="s">
        <v>2701</v>
      </c>
      <c r="D1367" t="s">
        <v>7</v>
      </c>
    </row>
    <row r="1368" spans="1:4" x14ac:dyDescent="0.25">
      <c r="A1368" t="s">
        <v>2702</v>
      </c>
      <c r="B1368" t="s">
        <v>1454</v>
      </c>
      <c r="C1368" t="s">
        <v>2703</v>
      </c>
      <c r="D1368" t="s">
        <v>7</v>
      </c>
    </row>
    <row r="1369" spans="1:4" x14ac:dyDescent="0.25">
      <c r="A1369" t="s">
        <v>2704</v>
      </c>
      <c r="B1369" t="s">
        <v>1454</v>
      </c>
      <c r="C1369" t="s">
        <v>2705</v>
      </c>
      <c r="D1369" t="s">
        <v>7</v>
      </c>
    </row>
    <row r="1370" spans="1:4" x14ac:dyDescent="0.25">
      <c r="A1370" t="s">
        <v>2706</v>
      </c>
      <c r="B1370" t="s">
        <v>1454</v>
      </c>
      <c r="C1370" t="s">
        <v>2707</v>
      </c>
      <c r="D1370" t="s">
        <v>16</v>
      </c>
    </row>
    <row r="1371" spans="1:4" x14ac:dyDescent="0.25">
      <c r="A1371" t="s">
        <v>2708</v>
      </c>
      <c r="B1371" t="s">
        <v>1454</v>
      </c>
      <c r="C1371" t="s">
        <v>2709</v>
      </c>
      <c r="D1371" t="s">
        <v>1886</v>
      </c>
    </row>
    <row r="1372" spans="1:4" x14ac:dyDescent="0.25">
      <c r="A1372" t="s">
        <v>2710</v>
      </c>
      <c r="B1372" t="s">
        <v>1454</v>
      </c>
      <c r="C1372" t="s">
        <v>2711</v>
      </c>
      <c r="D1372" t="s">
        <v>16</v>
      </c>
    </row>
    <row r="1373" spans="1:4" x14ac:dyDescent="0.25">
      <c r="A1373" t="s">
        <v>2712</v>
      </c>
      <c r="B1373" t="s">
        <v>1454</v>
      </c>
      <c r="C1373" t="s">
        <v>2713</v>
      </c>
      <c r="D1373" t="s">
        <v>16</v>
      </c>
    </row>
    <row r="1374" spans="1:4" x14ac:dyDescent="0.25">
      <c r="A1374" t="s">
        <v>2714</v>
      </c>
      <c r="B1374" t="s">
        <v>1454</v>
      </c>
      <c r="C1374" t="s">
        <v>2715</v>
      </c>
      <c r="D1374" t="s">
        <v>1886</v>
      </c>
    </row>
    <row r="1375" spans="1:4" x14ac:dyDescent="0.25">
      <c r="A1375" t="s">
        <v>2716</v>
      </c>
      <c r="B1375" t="s">
        <v>1454</v>
      </c>
      <c r="C1375" t="s">
        <v>2717</v>
      </c>
      <c r="D1375" t="s">
        <v>16</v>
      </c>
    </row>
    <row r="1376" spans="1:4" x14ac:dyDescent="0.25">
      <c r="A1376" t="s">
        <v>2718</v>
      </c>
      <c r="B1376" t="s">
        <v>1454</v>
      </c>
      <c r="C1376" t="s">
        <v>2719</v>
      </c>
      <c r="D1376" t="s">
        <v>16</v>
      </c>
    </row>
    <row r="1377" spans="1:4" x14ac:dyDescent="0.25">
      <c r="A1377" t="s">
        <v>2720</v>
      </c>
      <c r="B1377" t="s">
        <v>1454</v>
      </c>
      <c r="C1377" t="s">
        <v>2721</v>
      </c>
      <c r="D1377" t="s">
        <v>1886</v>
      </c>
    </row>
    <row r="1378" spans="1:4" x14ac:dyDescent="0.25">
      <c r="A1378" t="s">
        <v>2722</v>
      </c>
      <c r="B1378" t="s">
        <v>1454</v>
      </c>
      <c r="C1378" t="s">
        <v>2723</v>
      </c>
      <c r="D1378" t="s">
        <v>16</v>
      </c>
    </row>
    <row r="1379" spans="1:4" x14ac:dyDescent="0.25">
      <c r="A1379" t="s">
        <v>2724</v>
      </c>
      <c r="B1379" t="s">
        <v>1454</v>
      </c>
      <c r="C1379" t="s">
        <v>2725</v>
      </c>
      <c r="D1379" t="s">
        <v>16</v>
      </c>
    </row>
    <row r="1380" spans="1:4" x14ac:dyDescent="0.25">
      <c r="A1380" t="s">
        <v>2726</v>
      </c>
      <c r="B1380" t="s">
        <v>1454</v>
      </c>
      <c r="C1380" t="s">
        <v>2727</v>
      </c>
      <c r="D1380" t="s">
        <v>7</v>
      </c>
    </row>
    <row r="1381" spans="1:4" x14ac:dyDescent="0.25">
      <c r="A1381" t="s">
        <v>2728</v>
      </c>
      <c r="B1381" t="s">
        <v>1454</v>
      </c>
      <c r="C1381" t="s">
        <v>2729</v>
      </c>
      <c r="D1381" t="s">
        <v>7</v>
      </c>
    </row>
    <row r="1382" spans="1:4" x14ac:dyDescent="0.25">
      <c r="A1382" t="s">
        <v>2730</v>
      </c>
      <c r="B1382" t="s">
        <v>1454</v>
      </c>
      <c r="C1382" t="s">
        <v>2731</v>
      </c>
      <c r="D1382" t="s">
        <v>7</v>
      </c>
    </row>
    <row r="1383" spans="1:4" x14ac:dyDescent="0.25">
      <c r="A1383" t="s">
        <v>2732</v>
      </c>
      <c r="B1383" t="s">
        <v>1454</v>
      </c>
      <c r="C1383" t="s">
        <v>2733</v>
      </c>
      <c r="D1383" t="s">
        <v>16</v>
      </c>
    </row>
    <row r="1384" spans="1:4" x14ac:dyDescent="0.25">
      <c r="A1384" t="s">
        <v>2734</v>
      </c>
      <c r="B1384" t="s">
        <v>1454</v>
      </c>
      <c r="C1384" t="s">
        <v>2735</v>
      </c>
      <c r="D1384" t="s">
        <v>16</v>
      </c>
    </row>
    <row r="1385" spans="1:4" x14ac:dyDescent="0.25">
      <c r="A1385" t="s">
        <v>2736</v>
      </c>
      <c r="B1385" t="s">
        <v>1454</v>
      </c>
      <c r="C1385" t="s">
        <v>2737</v>
      </c>
      <c r="D1385" t="s">
        <v>16</v>
      </c>
    </row>
    <row r="1386" spans="1:4" x14ac:dyDescent="0.25">
      <c r="A1386" t="s">
        <v>2738</v>
      </c>
      <c r="B1386" t="s">
        <v>1454</v>
      </c>
      <c r="C1386" t="s">
        <v>2739</v>
      </c>
      <c r="D1386" t="s">
        <v>16</v>
      </c>
    </row>
    <row r="1387" spans="1:4" x14ac:dyDescent="0.25">
      <c r="A1387" t="s">
        <v>2740</v>
      </c>
      <c r="B1387" t="s">
        <v>1454</v>
      </c>
      <c r="C1387" t="s">
        <v>2741</v>
      </c>
      <c r="D1387" t="s">
        <v>7</v>
      </c>
    </row>
    <row r="1388" spans="1:4" x14ac:dyDescent="0.25">
      <c r="A1388" t="s">
        <v>2742</v>
      </c>
      <c r="B1388" t="s">
        <v>1454</v>
      </c>
      <c r="C1388" t="s">
        <v>2743</v>
      </c>
      <c r="D1388" t="s">
        <v>1886</v>
      </c>
    </row>
    <row r="1389" spans="1:4" x14ac:dyDescent="0.25">
      <c r="A1389" t="s">
        <v>2744</v>
      </c>
      <c r="B1389" t="s">
        <v>1454</v>
      </c>
      <c r="C1389" t="s">
        <v>2745</v>
      </c>
      <c r="D1389" t="s">
        <v>106</v>
      </c>
    </row>
    <row r="1390" spans="1:4" x14ac:dyDescent="0.25">
      <c r="A1390" t="s">
        <v>2746</v>
      </c>
      <c r="B1390" t="s">
        <v>1454</v>
      </c>
      <c r="C1390" t="s">
        <v>2747</v>
      </c>
      <c r="D1390" t="s">
        <v>16</v>
      </c>
    </row>
    <row r="1391" spans="1:4" x14ac:dyDescent="0.25">
      <c r="A1391" t="s">
        <v>2748</v>
      </c>
      <c r="B1391" t="s">
        <v>1454</v>
      </c>
      <c r="C1391" t="s">
        <v>2749</v>
      </c>
      <c r="D1391" t="s">
        <v>16</v>
      </c>
    </row>
    <row r="1392" spans="1:4" x14ac:dyDescent="0.25">
      <c r="A1392" t="s">
        <v>2750</v>
      </c>
      <c r="B1392" t="s">
        <v>1454</v>
      </c>
      <c r="C1392" t="s">
        <v>2751</v>
      </c>
      <c r="D1392" t="s">
        <v>1886</v>
      </c>
    </row>
    <row r="1393" spans="1:4" x14ac:dyDescent="0.25">
      <c r="A1393" t="s">
        <v>2752</v>
      </c>
      <c r="B1393" t="s">
        <v>1454</v>
      </c>
      <c r="C1393" t="s">
        <v>2753</v>
      </c>
      <c r="D1393" t="s">
        <v>106</v>
      </c>
    </row>
    <row r="1394" spans="1:4" x14ac:dyDescent="0.25">
      <c r="A1394" t="s">
        <v>2754</v>
      </c>
      <c r="B1394" t="s">
        <v>1454</v>
      </c>
      <c r="C1394" t="s">
        <v>2755</v>
      </c>
      <c r="D1394" t="s">
        <v>16</v>
      </c>
    </row>
    <row r="1395" spans="1:4" x14ac:dyDescent="0.25">
      <c r="A1395" t="s">
        <v>2756</v>
      </c>
      <c r="B1395" t="s">
        <v>1454</v>
      </c>
      <c r="C1395" t="s">
        <v>2757</v>
      </c>
      <c r="D1395" t="s">
        <v>16</v>
      </c>
    </row>
    <row r="1396" spans="1:4" x14ac:dyDescent="0.25">
      <c r="A1396" t="s">
        <v>2758</v>
      </c>
      <c r="B1396" t="s">
        <v>1454</v>
      </c>
      <c r="C1396" t="s">
        <v>2759</v>
      </c>
      <c r="D1396" t="s">
        <v>1886</v>
      </c>
    </row>
    <row r="1397" spans="1:4" x14ac:dyDescent="0.25">
      <c r="A1397" t="s">
        <v>2760</v>
      </c>
      <c r="B1397" t="s">
        <v>1454</v>
      </c>
      <c r="C1397" t="s">
        <v>2761</v>
      </c>
      <c r="D1397" t="s">
        <v>106</v>
      </c>
    </row>
    <row r="1398" spans="1:4" x14ac:dyDescent="0.25">
      <c r="A1398" t="s">
        <v>2762</v>
      </c>
      <c r="B1398" t="s">
        <v>1454</v>
      </c>
      <c r="C1398" t="s">
        <v>2763</v>
      </c>
      <c r="D1398" t="s">
        <v>8</v>
      </c>
    </row>
    <row r="1399" spans="1:4" x14ac:dyDescent="0.25">
      <c r="A1399" t="s">
        <v>2764</v>
      </c>
      <c r="B1399" t="s">
        <v>1454</v>
      </c>
      <c r="C1399" t="s">
        <v>2765</v>
      </c>
      <c r="D1399" t="s">
        <v>16</v>
      </c>
    </row>
    <row r="1400" spans="1:4" x14ac:dyDescent="0.25">
      <c r="A1400" t="s">
        <v>2766</v>
      </c>
      <c r="B1400" t="s">
        <v>1454</v>
      </c>
      <c r="C1400" t="s">
        <v>2767</v>
      </c>
      <c r="D1400" t="s">
        <v>1886</v>
      </c>
    </row>
    <row r="1401" spans="1:4" x14ac:dyDescent="0.25">
      <c r="A1401" t="s">
        <v>2768</v>
      </c>
      <c r="B1401" t="s">
        <v>1454</v>
      </c>
      <c r="C1401" t="s">
        <v>2769</v>
      </c>
      <c r="D1401" t="s">
        <v>16</v>
      </c>
    </row>
    <row r="1402" spans="1:4" x14ac:dyDescent="0.25">
      <c r="A1402" t="s">
        <v>2770</v>
      </c>
      <c r="B1402" t="s">
        <v>1454</v>
      </c>
      <c r="C1402" t="s">
        <v>2771</v>
      </c>
      <c r="D1402" t="s">
        <v>106</v>
      </c>
    </row>
    <row r="1403" spans="1:4" x14ac:dyDescent="0.25">
      <c r="A1403" t="s">
        <v>2772</v>
      </c>
      <c r="B1403" t="s">
        <v>1454</v>
      </c>
      <c r="C1403" t="s">
        <v>2773</v>
      </c>
      <c r="D1403" t="s">
        <v>7</v>
      </c>
    </row>
    <row r="1404" spans="1:4" x14ac:dyDescent="0.25">
      <c r="A1404" t="s">
        <v>2774</v>
      </c>
      <c r="B1404" t="s">
        <v>1454</v>
      </c>
      <c r="C1404" t="s">
        <v>2775</v>
      </c>
      <c r="D1404" t="s">
        <v>7</v>
      </c>
    </row>
    <row r="1405" spans="1:4" x14ac:dyDescent="0.25">
      <c r="A1405" t="s">
        <v>2776</v>
      </c>
      <c r="B1405" t="s">
        <v>1454</v>
      </c>
      <c r="C1405" t="s">
        <v>2777</v>
      </c>
      <c r="D1405" t="s">
        <v>7</v>
      </c>
    </row>
    <row r="1406" spans="1:4" x14ac:dyDescent="0.25">
      <c r="A1406" t="s">
        <v>2778</v>
      </c>
      <c r="B1406" t="s">
        <v>1454</v>
      </c>
      <c r="C1406" t="s">
        <v>2779</v>
      </c>
      <c r="D1406" t="s">
        <v>7</v>
      </c>
    </row>
    <row r="1407" spans="1:4" x14ac:dyDescent="0.25">
      <c r="A1407" t="s">
        <v>2780</v>
      </c>
      <c r="B1407" t="s">
        <v>1454</v>
      </c>
      <c r="C1407" t="s">
        <v>2781</v>
      </c>
      <c r="D1407" t="s">
        <v>7</v>
      </c>
    </row>
    <row r="1408" spans="1:4" x14ac:dyDescent="0.25">
      <c r="A1408" t="s">
        <v>2782</v>
      </c>
      <c r="B1408" t="s">
        <v>1454</v>
      </c>
      <c r="C1408" t="s">
        <v>2783</v>
      </c>
      <c r="D1408" t="s">
        <v>1886</v>
      </c>
    </row>
    <row r="1409" spans="1:4" x14ac:dyDescent="0.25">
      <c r="A1409" t="s">
        <v>2784</v>
      </c>
      <c r="B1409" t="s">
        <v>1454</v>
      </c>
      <c r="C1409" t="s">
        <v>2785</v>
      </c>
      <c r="D1409" t="s">
        <v>106</v>
      </c>
    </row>
    <row r="1410" spans="1:4" x14ac:dyDescent="0.25">
      <c r="A1410" t="s">
        <v>2786</v>
      </c>
      <c r="B1410" t="s">
        <v>1454</v>
      </c>
      <c r="C1410" t="s">
        <v>2787</v>
      </c>
      <c r="D1410" t="s">
        <v>16</v>
      </c>
    </row>
    <row r="1411" spans="1:4" x14ac:dyDescent="0.25">
      <c r="A1411" t="s">
        <v>2788</v>
      </c>
      <c r="B1411" t="s">
        <v>1454</v>
      </c>
      <c r="C1411" t="s">
        <v>2789</v>
      </c>
      <c r="D1411" t="s">
        <v>7</v>
      </c>
    </row>
    <row r="1412" spans="1:4" x14ac:dyDescent="0.25">
      <c r="A1412" t="s">
        <v>2790</v>
      </c>
      <c r="B1412" t="s">
        <v>1454</v>
      </c>
      <c r="C1412" t="s">
        <v>2791</v>
      </c>
      <c r="D1412" t="s">
        <v>16</v>
      </c>
    </row>
    <row r="1413" spans="1:4" x14ac:dyDescent="0.25">
      <c r="A1413" t="s">
        <v>2792</v>
      </c>
      <c r="B1413" t="s">
        <v>1454</v>
      </c>
      <c r="C1413" t="s">
        <v>2793</v>
      </c>
      <c r="D1413" t="s">
        <v>16</v>
      </c>
    </row>
    <row r="1414" spans="1:4" x14ac:dyDescent="0.25">
      <c r="A1414" t="s">
        <v>2794</v>
      </c>
      <c r="B1414" t="s">
        <v>1454</v>
      </c>
      <c r="C1414" t="s">
        <v>2795</v>
      </c>
      <c r="D1414" t="s">
        <v>106</v>
      </c>
    </row>
    <row r="1415" spans="1:4" x14ac:dyDescent="0.25">
      <c r="A1415" t="s">
        <v>2796</v>
      </c>
      <c r="B1415" t="s">
        <v>1454</v>
      </c>
      <c r="C1415" t="s">
        <v>2797</v>
      </c>
      <c r="D1415" t="s">
        <v>16</v>
      </c>
    </row>
    <row r="1416" spans="1:4" x14ac:dyDescent="0.25">
      <c r="A1416" t="s">
        <v>2798</v>
      </c>
      <c r="B1416" t="s">
        <v>1454</v>
      </c>
      <c r="C1416" t="s">
        <v>2799</v>
      </c>
      <c r="D1416" t="s">
        <v>1886</v>
      </c>
    </row>
    <row r="1417" spans="1:4" x14ac:dyDescent="0.25">
      <c r="A1417" t="s">
        <v>2800</v>
      </c>
      <c r="B1417" t="s">
        <v>1454</v>
      </c>
      <c r="C1417" t="s">
        <v>2801</v>
      </c>
      <c r="D1417" t="s">
        <v>106</v>
      </c>
    </row>
    <row r="1418" spans="1:4" x14ac:dyDescent="0.25">
      <c r="A1418" t="s">
        <v>2802</v>
      </c>
      <c r="B1418" t="s">
        <v>1454</v>
      </c>
      <c r="C1418" t="s">
        <v>2803</v>
      </c>
      <c r="D1418" t="s">
        <v>7</v>
      </c>
    </row>
    <row r="1419" spans="1:4" x14ac:dyDescent="0.25">
      <c r="A1419" t="s">
        <v>2804</v>
      </c>
      <c r="B1419" t="s">
        <v>1454</v>
      </c>
      <c r="C1419" t="s">
        <v>2805</v>
      </c>
      <c r="D1419" t="s">
        <v>1886</v>
      </c>
    </row>
    <row r="1420" spans="1:4" x14ac:dyDescent="0.25">
      <c r="A1420" t="s">
        <v>2806</v>
      </c>
      <c r="B1420" t="s">
        <v>1454</v>
      </c>
      <c r="C1420" t="s">
        <v>2807</v>
      </c>
      <c r="D1420" t="s">
        <v>16</v>
      </c>
    </row>
    <row r="1421" spans="1:4" x14ac:dyDescent="0.25">
      <c r="A1421" t="s">
        <v>2808</v>
      </c>
      <c r="B1421" t="s">
        <v>1454</v>
      </c>
      <c r="C1421" t="s">
        <v>2809</v>
      </c>
      <c r="D1421" t="s">
        <v>7</v>
      </c>
    </row>
    <row r="1422" spans="1:4" x14ac:dyDescent="0.25">
      <c r="A1422" t="s">
        <v>2810</v>
      </c>
      <c r="B1422" t="s">
        <v>1454</v>
      </c>
      <c r="C1422" t="s">
        <v>2811</v>
      </c>
      <c r="D1422" t="s">
        <v>1886</v>
      </c>
    </row>
    <row r="1423" spans="1:4" x14ac:dyDescent="0.25">
      <c r="A1423" t="s">
        <v>2812</v>
      </c>
      <c r="B1423" t="s">
        <v>1454</v>
      </c>
      <c r="C1423" t="s">
        <v>2813</v>
      </c>
      <c r="D1423" t="s">
        <v>16</v>
      </c>
    </row>
    <row r="1424" spans="1:4" x14ac:dyDescent="0.25">
      <c r="A1424" t="s">
        <v>2814</v>
      </c>
      <c r="B1424" t="s">
        <v>1454</v>
      </c>
      <c r="C1424" t="s">
        <v>2815</v>
      </c>
      <c r="D1424" t="s">
        <v>7</v>
      </c>
    </row>
    <row r="1425" spans="1:4" x14ac:dyDescent="0.25">
      <c r="A1425" t="s">
        <v>2816</v>
      </c>
      <c r="B1425" t="s">
        <v>1454</v>
      </c>
      <c r="C1425" t="s">
        <v>2817</v>
      </c>
      <c r="D1425" t="s">
        <v>1886</v>
      </c>
    </row>
    <row r="1426" spans="1:4" x14ac:dyDescent="0.25">
      <c r="A1426" t="s">
        <v>2818</v>
      </c>
      <c r="B1426" t="s">
        <v>1454</v>
      </c>
      <c r="C1426" t="s">
        <v>2819</v>
      </c>
      <c r="D1426" t="s">
        <v>106</v>
      </c>
    </row>
    <row r="1427" spans="1:4" x14ac:dyDescent="0.25">
      <c r="A1427" t="s">
        <v>2820</v>
      </c>
      <c r="B1427" t="s">
        <v>1454</v>
      </c>
      <c r="C1427" t="s">
        <v>2821</v>
      </c>
      <c r="D1427" t="s">
        <v>7</v>
      </c>
    </row>
    <row r="1428" spans="1:4" x14ac:dyDescent="0.25">
      <c r="A1428" t="s">
        <v>2822</v>
      </c>
      <c r="B1428" t="s">
        <v>1454</v>
      </c>
      <c r="C1428" t="s">
        <v>2823</v>
      </c>
      <c r="D1428" t="s">
        <v>1886</v>
      </c>
    </row>
    <row r="1429" spans="1:4" x14ac:dyDescent="0.25">
      <c r="A1429" t="s">
        <v>2824</v>
      </c>
      <c r="B1429" t="s">
        <v>1454</v>
      </c>
      <c r="C1429" t="s">
        <v>2825</v>
      </c>
      <c r="D1429" t="s">
        <v>106</v>
      </c>
    </row>
    <row r="1430" spans="1:4" x14ac:dyDescent="0.25">
      <c r="A1430" t="s">
        <v>2826</v>
      </c>
      <c r="B1430" t="s">
        <v>1454</v>
      </c>
      <c r="C1430" t="s">
        <v>2827</v>
      </c>
      <c r="D1430" t="s">
        <v>7</v>
      </c>
    </row>
    <row r="1431" spans="1:4" x14ac:dyDescent="0.25">
      <c r="A1431" t="s">
        <v>2828</v>
      </c>
      <c r="B1431" t="s">
        <v>1454</v>
      </c>
      <c r="C1431" t="s">
        <v>2829</v>
      </c>
      <c r="D1431" t="s">
        <v>1886</v>
      </c>
    </row>
    <row r="1432" spans="1:4" x14ac:dyDescent="0.25">
      <c r="A1432" t="s">
        <v>2830</v>
      </c>
      <c r="B1432" t="s">
        <v>1454</v>
      </c>
      <c r="C1432" t="s">
        <v>2831</v>
      </c>
      <c r="D1432" t="s">
        <v>16</v>
      </c>
    </row>
    <row r="1433" spans="1:4" x14ac:dyDescent="0.25">
      <c r="A1433" t="s">
        <v>2832</v>
      </c>
      <c r="B1433" t="s">
        <v>1454</v>
      </c>
      <c r="C1433" t="s">
        <v>2833</v>
      </c>
      <c r="D1433" t="s">
        <v>7</v>
      </c>
    </row>
    <row r="1434" spans="1:4" x14ac:dyDescent="0.25">
      <c r="A1434" t="s">
        <v>2834</v>
      </c>
      <c r="B1434" t="s">
        <v>1454</v>
      </c>
      <c r="C1434" t="s">
        <v>2835</v>
      </c>
      <c r="D1434" t="s">
        <v>1886</v>
      </c>
    </row>
    <row r="1435" spans="1:4" x14ac:dyDescent="0.25">
      <c r="A1435" t="s">
        <v>2836</v>
      </c>
      <c r="B1435" t="s">
        <v>1454</v>
      </c>
      <c r="C1435" t="s">
        <v>2837</v>
      </c>
      <c r="D1435" t="s">
        <v>106</v>
      </c>
    </row>
    <row r="1436" spans="1:4" x14ac:dyDescent="0.25">
      <c r="A1436" t="s">
        <v>2838</v>
      </c>
      <c r="B1436" t="s">
        <v>1454</v>
      </c>
      <c r="C1436" t="s">
        <v>2839</v>
      </c>
      <c r="D1436" t="s">
        <v>7</v>
      </c>
    </row>
    <row r="1437" spans="1:4" x14ac:dyDescent="0.25">
      <c r="A1437" t="s">
        <v>2840</v>
      </c>
      <c r="B1437" t="s">
        <v>1454</v>
      </c>
      <c r="C1437" t="s">
        <v>2841</v>
      </c>
      <c r="D1437" t="s">
        <v>16</v>
      </c>
    </row>
    <row r="1438" spans="1:4" x14ac:dyDescent="0.25">
      <c r="A1438" t="s">
        <v>2842</v>
      </c>
      <c r="B1438" t="s">
        <v>1454</v>
      </c>
      <c r="C1438" t="s">
        <v>2843</v>
      </c>
      <c r="D1438" t="s">
        <v>7</v>
      </c>
    </row>
    <row r="1439" spans="1:4" x14ac:dyDescent="0.25">
      <c r="A1439" t="s">
        <v>2844</v>
      </c>
      <c r="B1439" t="s">
        <v>1454</v>
      </c>
      <c r="C1439" t="s">
        <v>2845</v>
      </c>
      <c r="D1439" t="s">
        <v>8</v>
      </c>
    </row>
    <row r="1440" spans="1:4" x14ac:dyDescent="0.25">
      <c r="A1440" t="s">
        <v>2846</v>
      </c>
      <c r="B1440" t="s">
        <v>1454</v>
      </c>
      <c r="C1440" t="s">
        <v>2847</v>
      </c>
      <c r="D1440" t="s">
        <v>1886</v>
      </c>
    </row>
    <row r="1441" spans="1:4" x14ac:dyDescent="0.25">
      <c r="A1441" t="s">
        <v>2848</v>
      </c>
      <c r="B1441" t="s">
        <v>1454</v>
      </c>
      <c r="C1441" t="s">
        <v>2849</v>
      </c>
      <c r="D1441" t="s">
        <v>106</v>
      </c>
    </row>
    <row r="1442" spans="1:4" x14ac:dyDescent="0.25">
      <c r="A1442" t="s">
        <v>2850</v>
      </c>
      <c r="B1442" t="s">
        <v>1454</v>
      </c>
      <c r="C1442" t="s">
        <v>2851</v>
      </c>
      <c r="D1442" t="s">
        <v>8</v>
      </c>
    </row>
    <row r="1443" spans="1:4" x14ac:dyDescent="0.25">
      <c r="A1443" t="s">
        <v>2852</v>
      </c>
      <c r="B1443" t="s">
        <v>1454</v>
      </c>
      <c r="C1443" t="s">
        <v>2853</v>
      </c>
      <c r="D1443" t="s">
        <v>7</v>
      </c>
    </row>
    <row r="1444" spans="1:4" x14ac:dyDescent="0.25">
      <c r="A1444" t="s">
        <v>2854</v>
      </c>
      <c r="B1444" t="s">
        <v>1454</v>
      </c>
      <c r="C1444" t="s">
        <v>2855</v>
      </c>
      <c r="D1444" t="s">
        <v>16</v>
      </c>
    </row>
    <row r="1445" spans="1:4" x14ac:dyDescent="0.25">
      <c r="A1445" t="s">
        <v>2856</v>
      </c>
      <c r="B1445" t="s">
        <v>1454</v>
      </c>
      <c r="C1445" t="s">
        <v>2857</v>
      </c>
      <c r="D1445" t="s">
        <v>7</v>
      </c>
    </row>
    <row r="1446" spans="1:4" x14ac:dyDescent="0.25">
      <c r="A1446" t="s">
        <v>2858</v>
      </c>
      <c r="B1446" t="s">
        <v>1454</v>
      </c>
      <c r="C1446" t="s">
        <v>2859</v>
      </c>
      <c r="D1446" t="s">
        <v>106</v>
      </c>
    </row>
    <row r="1447" spans="1:4" x14ac:dyDescent="0.25">
      <c r="A1447" t="s">
        <v>2860</v>
      </c>
      <c r="B1447" t="s">
        <v>1454</v>
      </c>
      <c r="C1447" t="s">
        <v>2861</v>
      </c>
      <c r="D1447" t="s">
        <v>7</v>
      </c>
    </row>
    <row r="1448" spans="1:4" x14ac:dyDescent="0.25">
      <c r="A1448" t="s">
        <v>2862</v>
      </c>
      <c r="B1448" t="s">
        <v>1454</v>
      </c>
      <c r="C1448" t="s">
        <v>2863</v>
      </c>
      <c r="D1448" t="s">
        <v>8</v>
      </c>
    </row>
    <row r="1449" spans="1:4" x14ac:dyDescent="0.25">
      <c r="A1449" t="s">
        <v>2864</v>
      </c>
      <c r="B1449" t="s">
        <v>1454</v>
      </c>
      <c r="C1449" t="s">
        <v>2865</v>
      </c>
      <c r="D1449" t="s">
        <v>8</v>
      </c>
    </row>
    <row r="1450" spans="1:4" x14ac:dyDescent="0.25">
      <c r="A1450" t="s">
        <v>2866</v>
      </c>
      <c r="B1450" t="s">
        <v>1454</v>
      </c>
      <c r="C1450" t="s">
        <v>2867</v>
      </c>
      <c r="D1450" t="s">
        <v>8</v>
      </c>
    </row>
    <row r="1451" spans="1:4" x14ac:dyDescent="0.25">
      <c r="A1451" t="s">
        <v>2868</v>
      </c>
      <c r="B1451" t="s">
        <v>1454</v>
      </c>
      <c r="C1451" t="s">
        <v>2869</v>
      </c>
      <c r="D1451" t="s">
        <v>8</v>
      </c>
    </row>
    <row r="1452" spans="1:4" x14ac:dyDescent="0.25">
      <c r="A1452" t="s">
        <v>2870</v>
      </c>
      <c r="B1452" t="s">
        <v>1454</v>
      </c>
      <c r="C1452" t="s">
        <v>2871</v>
      </c>
      <c r="D1452" t="s">
        <v>8</v>
      </c>
    </row>
    <row r="1453" spans="1:4" x14ac:dyDescent="0.25">
      <c r="A1453" t="s">
        <v>2872</v>
      </c>
      <c r="B1453" t="s">
        <v>1454</v>
      </c>
      <c r="C1453" t="s">
        <v>2873</v>
      </c>
      <c r="D1453" t="s">
        <v>8</v>
      </c>
    </row>
    <row r="1454" spans="1:4" x14ac:dyDescent="0.25">
      <c r="A1454" t="s">
        <v>2874</v>
      </c>
      <c r="B1454" t="s">
        <v>1454</v>
      </c>
      <c r="C1454" t="s">
        <v>2875</v>
      </c>
      <c r="D1454" t="s">
        <v>8</v>
      </c>
    </row>
    <row r="1455" spans="1:4" x14ac:dyDescent="0.25">
      <c r="A1455" t="s">
        <v>2876</v>
      </c>
      <c r="B1455" t="s">
        <v>1454</v>
      </c>
      <c r="C1455" t="s">
        <v>2877</v>
      </c>
      <c r="D1455" t="s">
        <v>8</v>
      </c>
    </row>
    <row r="1456" spans="1:4" x14ac:dyDescent="0.25">
      <c r="A1456" t="s">
        <v>2878</v>
      </c>
      <c r="B1456" t="s">
        <v>1454</v>
      </c>
      <c r="C1456" t="s">
        <v>2879</v>
      </c>
      <c r="D1456" t="s">
        <v>8</v>
      </c>
    </row>
    <row r="1457" spans="1:4" x14ac:dyDescent="0.25">
      <c r="A1457" t="s">
        <v>2880</v>
      </c>
      <c r="B1457" t="s">
        <v>1454</v>
      </c>
      <c r="C1457" t="s">
        <v>2881</v>
      </c>
      <c r="D1457" t="s">
        <v>8</v>
      </c>
    </row>
    <row r="1458" spans="1:4" x14ac:dyDescent="0.25">
      <c r="A1458" t="s">
        <v>2882</v>
      </c>
      <c r="B1458" t="s">
        <v>1454</v>
      </c>
      <c r="C1458" t="s">
        <v>2883</v>
      </c>
      <c r="D1458" t="s">
        <v>8</v>
      </c>
    </row>
    <row r="1459" spans="1:4" x14ac:dyDescent="0.25">
      <c r="A1459" t="s">
        <v>2884</v>
      </c>
      <c r="B1459" t="s">
        <v>1454</v>
      </c>
      <c r="C1459" t="s">
        <v>2885</v>
      </c>
      <c r="D1459" t="s">
        <v>8</v>
      </c>
    </row>
    <row r="1460" spans="1:4" x14ac:dyDescent="0.25">
      <c r="A1460" t="s">
        <v>2886</v>
      </c>
      <c r="B1460" t="s">
        <v>1454</v>
      </c>
      <c r="C1460" t="s">
        <v>2887</v>
      </c>
      <c r="D1460" t="s">
        <v>8</v>
      </c>
    </row>
    <row r="1461" spans="1:4" x14ac:dyDescent="0.25">
      <c r="A1461" t="s">
        <v>2888</v>
      </c>
      <c r="B1461" t="s">
        <v>1454</v>
      </c>
      <c r="C1461" t="s">
        <v>2889</v>
      </c>
      <c r="D1461" t="s">
        <v>8</v>
      </c>
    </row>
    <row r="1462" spans="1:4" x14ac:dyDescent="0.25">
      <c r="A1462" t="s">
        <v>2890</v>
      </c>
      <c r="B1462" t="s">
        <v>1454</v>
      </c>
      <c r="C1462" t="s">
        <v>2891</v>
      </c>
      <c r="D1462" t="s">
        <v>8</v>
      </c>
    </row>
    <row r="1463" spans="1:4" x14ac:dyDescent="0.25">
      <c r="A1463" t="s">
        <v>2892</v>
      </c>
      <c r="B1463" t="s">
        <v>1454</v>
      </c>
      <c r="C1463" t="s">
        <v>2893</v>
      </c>
      <c r="D1463" t="s">
        <v>7</v>
      </c>
    </row>
    <row r="1464" spans="1:4" x14ac:dyDescent="0.25">
      <c r="A1464" t="s">
        <v>2894</v>
      </c>
      <c r="B1464" t="s">
        <v>1454</v>
      </c>
      <c r="C1464" t="s">
        <v>2895</v>
      </c>
      <c r="D1464" t="s">
        <v>8</v>
      </c>
    </row>
    <row r="1465" spans="1:4" x14ac:dyDescent="0.25">
      <c r="A1465" t="s">
        <v>2896</v>
      </c>
      <c r="B1465" t="s">
        <v>1454</v>
      </c>
      <c r="C1465" t="s">
        <v>2897</v>
      </c>
      <c r="D1465" t="s">
        <v>8</v>
      </c>
    </row>
    <row r="1466" spans="1:4" x14ac:dyDescent="0.25">
      <c r="A1466" t="s">
        <v>2898</v>
      </c>
      <c r="B1466" t="s">
        <v>1454</v>
      </c>
      <c r="C1466" t="s">
        <v>2899</v>
      </c>
      <c r="D1466" t="s">
        <v>8</v>
      </c>
    </row>
    <row r="1467" spans="1:4" x14ac:dyDescent="0.25">
      <c r="A1467" t="s">
        <v>2900</v>
      </c>
      <c r="B1467" t="s">
        <v>1454</v>
      </c>
      <c r="C1467" t="s">
        <v>2901</v>
      </c>
      <c r="D1467" t="s">
        <v>8</v>
      </c>
    </row>
    <row r="1468" spans="1:4" x14ac:dyDescent="0.25">
      <c r="A1468" t="s">
        <v>2902</v>
      </c>
      <c r="B1468" t="s">
        <v>1454</v>
      </c>
      <c r="C1468" t="s">
        <v>2903</v>
      </c>
      <c r="D1468" t="s">
        <v>8</v>
      </c>
    </row>
    <row r="1469" spans="1:4" x14ac:dyDescent="0.25">
      <c r="A1469" t="s">
        <v>2904</v>
      </c>
      <c r="B1469" t="s">
        <v>1454</v>
      </c>
      <c r="C1469" t="s">
        <v>2905</v>
      </c>
      <c r="D1469" t="s">
        <v>8</v>
      </c>
    </row>
    <row r="1470" spans="1:4" x14ac:dyDescent="0.25">
      <c r="A1470" t="s">
        <v>2906</v>
      </c>
      <c r="B1470" t="s">
        <v>1454</v>
      </c>
      <c r="C1470" t="s">
        <v>2907</v>
      </c>
      <c r="D1470" t="s">
        <v>8</v>
      </c>
    </row>
    <row r="1471" spans="1:4" x14ac:dyDescent="0.25">
      <c r="A1471" t="s">
        <v>2908</v>
      </c>
      <c r="B1471" t="s">
        <v>1454</v>
      </c>
      <c r="C1471" t="s">
        <v>2909</v>
      </c>
      <c r="D1471" t="s">
        <v>8</v>
      </c>
    </row>
    <row r="1472" spans="1:4" x14ac:dyDescent="0.25">
      <c r="A1472" t="s">
        <v>2910</v>
      </c>
      <c r="B1472" t="s">
        <v>1454</v>
      </c>
      <c r="C1472" t="s">
        <v>2911</v>
      </c>
      <c r="D1472" t="s">
        <v>8</v>
      </c>
    </row>
    <row r="1473" spans="1:4" x14ac:dyDescent="0.25">
      <c r="A1473" t="s">
        <v>2912</v>
      </c>
      <c r="B1473" t="s">
        <v>1454</v>
      </c>
      <c r="C1473" t="s">
        <v>2913</v>
      </c>
      <c r="D1473" t="s">
        <v>8</v>
      </c>
    </row>
    <row r="1474" spans="1:4" x14ac:dyDescent="0.25">
      <c r="A1474" t="s">
        <v>2914</v>
      </c>
      <c r="B1474" t="s">
        <v>1454</v>
      </c>
      <c r="C1474" t="s">
        <v>2915</v>
      </c>
      <c r="D1474" t="s">
        <v>8</v>
      </c>
    </row>
    <row r="1475" spans="1:4" x14ac:dyDescent="0.25">
      <c r="A1475" t="s">
        <v>2916</v>
      </c>
      <c r="B1475" t="s">
        <v>1454</v>
      </c>
      <c r="C1475" t="s">
        <v>2917</v>
      </c>
      <c r="D1475" t="s">
        <v>8</v>
      </c>
    </row>
    <row r="1476" spans="1:4" x14ac:dyDescent="0.25">
      <c r="A1476" t="s">
        <v>2918</v>
      </c>
      <c r="B1476" t="s">
        <v>1454</v>
      </c>
      <c r="C1476" t="s">
        <v>2919</v>
      </c>
      <c r="D1476" t="s">
        <v>8</v>
      </c>
    </row>
    <row r="1477" spans="1:4" x14ac:dyDescent="0.25">
      <c r="A1477" t="s">
        <v>2920</v>
      </c>
      <c r="B1477" t="s">
        <v>1454</v>
      </c>
      <c r="C1477" t="s">
        <v>2921</v>
      </c>
      <c r="D1477" t="s">
        <v>8</v>
      </c>
    </row>
    <row r="1478" spans="1:4" x14ac:dyDescent="0.25">
      <c r="A1478" t="s">
        <v>2922</v>
      </c>
      <c r="B1478" t="s">
        <v>1454</v>
      </c>
      <c r="C1478" t="s">
        <v>2923</v>
      </c>
      <c r="D1478" t="s">
        <v>8</v>
      </c>
    </row>
    <row r="1479" spans="1:4" x14ac:dyDescent="0.25">
      <c r="A1479" t="s">
        <v>2924</v>
      </c>
      <c r="B1479" t="s">
        <v>1454</v>
      </c>
      <c r="C1479" t="s">
        <v>2925</v>
      </c>
      <c r="D1479" t="s">
        <v>8</v>
      </c>
    </row>
    <row r="1480" spans="1:4" x14ac:dyDescent="0.25">
      <c r="A1480" t="s">
        <v>2926</v>
      </c>
      <c r="B1480" t="s">
        <v>1454</v>
      </c>
      <c r="C1480" t="s">
        <v>2927</v>
      </c>
      <c r="D1480" t="s">
        <v>8</v>
      </c>
    </row>
    <row r="1481" spans="1:4" x14ac:dyDescent="0.25">
      <c r="A1481" t="s">
        <v>2928</v>
      </c>
      <c r="B1481" t="s">
        <v>1454</v>
      </c>
      <c r="C1481" t="s">
        <v>2929</v>
      </c>
      <c r="D1481" t="s">
        <v>8</v>
      </c>
    </row>
    <row r="1482" spans="1:4" x14ac:dyDescent="0.25">
      <c r="A1482" t="s">
        <v>2930</v>
      </c>
      <c r="B1482" t="s">
        <v>1454</v>
      </c>
      <c r="C1482" t="s">
        <v>2931</v>
      </c>
      <c r="D1482" t="s">
        <v>8</v>
      </c>
    </row>
    <row r="1483" spans="1:4" x14ac:dyDescent="0.25">
      <c r="A1483" t="s">
        <v>2932</v>
      </c>
      <c r="B1483" t="s">
        <v>1454</v>
      </c>
      <c r="C1483" t="s">
        <v>2933</v>
      </c>
      <c r="D1483" t="s">
        <v>8</v>
      </c>
    </row>
    <row r="1484" spans="1:4" x14ac:dyDescent="0.25">
      <c r="A1484" t="s">
        <v>2934</v>
      </c>
      <c r="B1484" t="s">
        <v>1454</v>
      </c>
      <c r="C1484" t="s">
        <v>2935</v>
      </c>
      <c r="D1484" t="s">
        <v>8</v>
      </c>
    </row>
    <row r="1485" spans="1:4" x14ac:dyDescent="0.25">
      <c r="A1485" t="s">
        <v>2936</v>
      </c>
      <c r="B1485" t="s">
        <v>1454</v>
      </c>
      <c r="C1485" t="s">
        <v>2937</v>
      </c>
      <c r="D1485" t="s">
        <v>8</v>
      </c>
    </row>
    <row r="1486" spans="1:4" x14ac:dyDescent="0.25">
      <c r="A1486" t="s">
        <v>2938</v>
      </c>
      <c r="B1486" t="s">
        <v>1454</v>
      </c>
      <c r="C1486" t="s">
        <v>2939</v>
      </c>
      <c r="D1486" t="s">
        <v>8</v>
      </c>
    </row>
    <row r="1487" spans="1:4" x14ac:dyDescent="0.25">
      <c r="A1487" t="s">
        <v>2940</v>
      </c>
      <c r="B1487" t="s">
        <v>1454</v>
      </c>
      <c r="C1487" t="s">
        <v>2941</v>
      </c>
      <c r="D1487" t="s">
        <v>8</v>
      </c>
    </row>
    <row r="1488" spans="1:4" x14ac:dyDescent="0.25">
      <c r="A1488" t="s">
        <v>2942</v>
      </c>
      <c r="B1488" t="s">
        <v>1454</v>
      </c>
      <c r="C1488" t="s">
        <v>2943</v>
      </c>
      <c r="D1488" t="s">
        <v>8</v>
      </c>
    </row>
    <row r="1489" spans="1:4" x14ac:dyDescent="0.25">
      <c r="A1489" t="s">
        <v>2944</v>
      </c>
      <c r="B1489" t="s">
        <v>1454</v>
      </c>
      <c r="C1489" t="s">
        <v>2945</v>
      </c>
      <c r="D1489" t="s">
        <v>8</v>
      </c>
    </row>
    <row r="1490" spans="1:4" x14ac:dyDescent="0.25">
      <c r="A1490" t="s">
        <v>2946</v>
      </c>
      <c r="B1490" t="s">
        <v>1454</v>
      </c>
      <c r="C1490" t="s">
        <v>2947</v>
      </c>
      <c r="D1490" t="s">
        <v>8</v>
      </c>
    </row>
    <row r="1491" spans="1:4" x14ac:dyDescent="0.25">
      <c r="A1491" t="s">
        <v>2948</v>
      </c>
      <c r="B1491" t="s">
        <v>1454</v>
      </c>
      <c r="C1491" t="s">
        <v>2949</v>
      </c>
      <c r="D1491" t="s">
        <v>8</v>
      </c>
    </row>
    <row r="1492" spans="1:4" x14ac:dyDescent="0.25">
      <c r="A1492" t="s">
        <v>2950</v>
      </c>
      <c r="B1492" t="s">
        <v>1454</v>
      </c>
      <c r="C1492" t="s">
        <v>2951</v>
      </c>
      <c r="D1492" t="s">
        <v>8</v>
      </c>
    </row>
    <row r="1493" spans="1:4" x14ac:dyDescent="0.25">
      <c r="A1493" t="s">
        <v>2952</v>
      </c>
      <c r="B1493" t="s">
        <v>1454</v>
      </c>
      <c r="C1493" t="s">
        <v>2953</v>
      </c>
      <c r="D1493" t="s">
        <v>8</v>
      </c>
    </row>
    <row r="1494" spans="1:4" x14ac:dyDescent="0.25">
      <c r="A1494" t="s">
        <v>2954</v>
      </c>
      <c r="B1494" t="s">
        <v>1454</v>
      </c>
      <c r="C1494" t="s">
        <v>2955</v>
      </c>
      <c r="D1494" t="s">
        <v>8</v>
      </c>
    </row>
    <row r="1495" spans="1:4" x14ac:dyDescent="0.25">
      <c r="A1495" t="s">
        <v>2956</v>
      </c>
      <c r="B1495" t="s">
        <v>1454</v>
      </c>
      <c r="C1495" t="s">
        <v>2957</v>
      </c>
      <c r="D1495" t="s">
        <v>8</v>
      </c>
    </row>
    <row r="1496" spans="1:4" x14ac:dyDescent="0.25">
      <c r="A1496" t="s">
        <v>2958</v>
      </c>
      <c r="B1496" t="s">
        <v>1454</v>
      </c>
      <c r="C1496" t="s">
        <v>2959</v>
      </c>
      <c r="D1496" t="s">
        <v>8</v>
      </c>
    </row>
    <row r="1497" spans="1:4" x14ac:dyDescent="0.25">
      <c r="A1497" t="s">
        <v>2960</v>
      </c>
      <c r="B1497" t="s">
        <v>1454</v>
      </c>
      <c r="C1497" t="s">
        <v>2961</v>
      </c>
      <c r="D1497" t="s">
        <v>8</v>
      </c>
    </row>
    <row r="1498" spans="1:4" x14ac:dyDescent="0.25">
      <c r="A1498" t="s">
        <v>2962</v>
      </c>
      <c r="B1498" t="s">
        <v>1454</v>
      </c>
      <c r="C1498" t="s">
        <v>2963</v>
      </c>
      <c r="D1498" t="s">
        <v>8</v>
      </c>
    </row>
    <row r="1499" spans="1:4" x14ac:dyDescent="0.25">
      <c r="A1499" t="s">
        <v>2964</v>
      </c>
      <c r="B1499" t="s">
        <v>1454</v>
      </c>
      <c r="C1499" t="s">
        <v>2965</v>
      </c>
      <c r="D1499" t="s">
        <v>8</v>
      </c>
    </row>
    <row r="1500" spans="1:4" x14ac:dyDescent="0.25">
      <c r="A1500" t="s">
        <v>2966</v>
      </c>
      <c r="B1500" t="s">
        <v>1454</v>
      </c>
      <c r="C1500" t="s">
        <v>2967</v>
      </c>
      <c r="D1500" t="s">
        <v>8</v>
      </c>
    </row>
    <row r="1501" spans="1:4" x14ac:dyDescent="0.25">
      <c r="A1501" t="s">
        <v>2968</v>
      </c>
      <c r="B1501" t="s">
        <v>1454</v>
      </c>
      <c r="C1501" t="s">
        <v>2969</v>
      </c>
      <c r="D1501" t="s">
        <v>8</v>
      </c>
    </row>
    <row r="1502" spans="1:4" x14ac:dyDescent="0.25">
      <c r="A1502" t="s">
        <v>2970</v>
      </c>
      <c r="B1502" t="s">
        <v>1454</v>
      </c>
      <c r="C1502" t="s">
        <v>2971</v>
      </c>
      <c r="D1502" t="s">
        <v>8</v>
      </c>
    </row>
    <row r="1503" spans="1:4" x14ac:dyDescent="0.25">
      <c r="A1503" t="s">
        <v>2972</v>
      </c>
      <c r="B1503" t="s">
        <v>1454</v>
      </c>
      <c r="C1503" t="s">
        <v>2973</v>
      </c>
      <c r="D1503" t="s">
        <v>8</v>
      </c>
    </row>
    <row r="1504" spans="1:4" x14ac:dyDescent="0.25">
      <c r="A1504" t="s">
        <v>2974</v>
      </c>
      <c r="B1504" t="s">
        <v>1454</v>
      </c>
      <c r="C1504" t="s">
        <v>2975</v>
      </c>
      <c r="D1504" t="s">
        <v>8</v>
      </c>
    </row>
    <row r="1505" spans="1:4" x14ac:dyDescent="0.25">
      <c r="A1505" t="s">
        <v>2976</v>
      </c>
      <c r="B1505" t="s">
        <v>1454</v>
      </c>
      <c r="C1505" t="s">
        <v>2977</v>
      </c>
      <c r="D1505" t="s">
        <v>8</v>
      </c>
    </row>
    <row r="1506" spans="1:4" x14ac:dyDescent="0.25">
      <c r="A1506" t="s">
        <v>2978</v>
      </c>
      <c r="B1506" t="s">
        <v>1454</v>
      </c>
      <c r="C1506" t="s">
        <v>2979</v>
      </c>
      <c r="D1506" t="s">
        <v>8</v>
      </c>
    </row>
    <row r="1507" spans="1:4" x14ac:dyDescent="0.25">
      <c r="A1507" t="s">
        <v>2980</v>
      </c>
      <c r="B1507" t="s">
        <v>1454</v>
      </c>
      <c r="C1507" t="s">
        <v>2981</v>
      </c>
      <c r="D1507" t="s">
        <v>8</v>
      </c>
    </row>
    <row r="1508" spans="1:4" x14ac:dyDescent="0.25">
      <c r="A1508" t="s">
        <v>2982</v>
      </c>
      <c r="B1508" t="s">
        <v>1454</v>
      </c>
      <c r="C1508" t="s">
        <v>2983</v>
      </c>
      <c r="D1508" t="s">
        <v>8</v>
      </c>
    </row>
    <row r="1509" spans="1:4" x14ac:dyDescent="0.25">
      <c r="A1509" t="s">
        <v>2984</v>
      </c>
      <c r="B1509" t="s">
        <v>1454</v>
      </c>
      <c r="C1509" t="s">
        <v>2985</v>
      </c>
      <c r="D1509" t="s">
        <v>8</v>
      </c>
    </row>
    <row r="1510" spans="1:4" x14ac:dyDescent="0.25">
      <c r="A1510" t="s">
        <v>2986</v>
      </c>
      <c r="B1510" t="s">
        <v>1454</v>
      </c>
      <c r="C1510" t="s">
        <v>2987</v>
      </c>
      <c r="D1510" t="s">
        <v>8</v>
      </c>
    </row>
    <row r="1511" spans="1:4" x14ac:dyDescent="0.25">
      <c r="A1511" t="s">
        <v>2988</v>
      </c>
      <c r="B1511" t="s">
        <v>1454</v>
      </c>
      <c r="C1511" t="s">
        <v>2989</v>
      </c>
      <c r="D1511" t="s">
        <v>8</v>
      </c>
    </row>
    <row r="1512" spans="1:4" x14ac:dyDescent="0.25">
      <c r="A1512" t="s">
        <v>2990</v>
      </c>
      <c r="B1512" t="s">
        <v>1454</v>
      </c>
      <c r="C1512" t="s">
        <v>2991</v>
      </c>
      <c r="D1512" t="s">
        <v>7</v>
      </c>
    </row>
    <row r="1513" spans="1:4" x14ac:dyDescent="0.25">
      <c r="A1513" t="s">
        <v>2992</v>
      </c>
      <c r="B1513" t="s">
        <v>1454</v>
      </c>
      <c r="C1513" t="s">
        <v>2993</v>
      </c>
      <c r="D1513" t="s">
        <v>7</v>
      </c>
    </row>
    <row r="1514" spans="1:4" x14ac:dyDescent="0.25">
      <c r="A1514" t="s">
        <v>2994</v>
      </c>
      <c r="B1514" t="s">
        <v>1454</v>
      </c>
      <c r="C1514" t="s">
        <v>2995</v>
      </c>
      <c r="D1514" t="s">
        <v>106</v>
      </c>
    </row>
    <row r="1515" spans="1:4" x14ac:dyDescent="0.25">
      <c r="A1515" t="s">
        <v>2996</v>
      </c>
      <c r="B1515" t="s">
        <v>1454</v>
      </c>
      <c r="C1515" t="s">
        <v>2997</v>
      </c>
      <c r="D1515" t="s">
        <v>16</v>
      </c>
    </row>
    <row r="1516" spans="1:4" x14ac:dyDescent="0.25">
      <c r="A1516" t="s">
        <v>2998</v>
      </c>
      <c r="B1516" t="s">
        <v>1454</v>
      </c>
      <c r="C1516" t="s">
        <v>2999</v>
      </c>
      <c r="D1516" t="s">
        <v>7</v>
      </c>
    </row>
    <row r="1517" spans="1:4" x14ac:dyDescent="0.25">
      <c r="A1517" t="s">
        <v>3000</v>
      </c>
      <c r="B1517" t="s">
        <v>1454</v>
      </c>
      <c r="C1517" t="s">
        <v>3001</v>
      </c>
      <c r="D1517" t="s">
        <v>106</v>
      </c>
    </row>
    <row r="1518" spans="1:4" x14ac:dyDescent="0.25">
      <c r="A1518" t="s">
        <v>3002</v>
      </c>
      <c r="B1518" t="s">
        <v>1454</v>
      </c>
      <c r="C1518" t="s">
        <v>3003</v>
      </c>
      <c r="D1518" t="s">
        <v>7</v>
      </c>
    </row>
    <row r="1519" spans="1:4" x14ac:dyDescent="0.25">
      <c r="A1519" t="s">
        <v>3004</v>
      </c>
      <c r="B1519" t="s">
        <v>1454</v>
      </c>
      <c r="C1519" t="s">
        <v>3005</v>
      </c>
      <c r="D1519" t="s">
        <v>7</v>
      </c>
    </row>
    <row r="1520" spans="1:4" x14ac:dyDescent="0.25">
      <c r="A1520" t="s">
        <v>3006</v>
      </c>
      <c r="B1520" t="s">
        <v>1454</v>
      </c>
      <c r="C1520" t="s">
        <v>3007</v>
      </c>
      <c r="D1520" t="s">
        <v>7</v>
      </c>
    </row>
    <row r="1521" spans="1:4" x14ac:dyDescent="0.25">
      <c r="A1521" t="s">
        <v>3008</v>
      </c>
      <c r="B1521" t="s">
        <v>1454</v>
      </c>
      <c r="C1521" t="s">
        <v>3009</v>
      </c>
      <c r="D1521" t="s">
        <v>7</v>
      </c>
    </row>
    <row r="1522" spans="1:4" x14ac:dyDescent="0.25">
      <c r="A1522" t="s">
        <v>3010</v>
      </c>
      <c r="B1522" t="s">
        <v>1454</v>
      </c>
      <c r="C1522" t="s">
        <v>3011</v>
      </c>
      <c r="D1522" t="s">
        <v>8</v>
      </c>
    </row>
    <row r="1523" spans="1:4" x14ac:dyDescent="0.25">
      <c r="A1523" t="s">
        <v>3012</v>
      </c>
      <c r="B1523" t="s">
        <v>1454</v>
      </c>
      <c r="C1523" t="s">
        <v>3013</v>
      </c>
      <c r="D1523" t="s">
        <v>8</v>
      </c>
    </row>
    <row r="1524" spans="1:4" x14ac:dyDescent="0.25">
      <c r="A1524" t="s">
        <v>3014</v>
      </c>
      <c r="B1524" t="s">
        <v>1454</v>
      </c>
      <c r="C1524" t="s">
        <v>3015</v>
      </c>
      <c r="D1524" t="s">
        <v>8</v>
      </c>
    </row>
    <row r="1525" spans="1:4" x14ac:dyDescent="0.25">
      <c r="A1525" t="s">
        <v>3016</v>
      </c>
      <c r="B1525" t="s">
        <v>1454</v>
      </c>
      <c r="C1525" t="s">
        <v>3017</v>
      </c>
      <c r="D1525" t="s">
        <v>8</v>
      </c>
    </row>
    <row r="1526" spans="1:4" x14ac:dyDescent="0.25">
      <c r="A1526" t="s">
        <v>3018</v>
      </c>
      <c r="B1526" t="s">
        <v>1454</v>
      </c>
      <c r="C1526" t="s">
        <v>3019</v>
      </c>
      <c r="D1526" t="s">
        <v>8</v>
      </c>
    </row>
    <row r="1527" spans="1:4" x14ac:dyDescent="0.25">
      <c r="A1527" t="s">
        <v>3020</v>
      </c>
      <c r="B1527" t="s">
        <v>1454</v>
      </c>
      <c r="C1527" t="s">
        <v>3021</v>
      </c>
      <c r="D1527" t="s">
        <v>8</v>
      </c>
    </row>
    <row r="1528" spans="1:4" x14ac:dyDescent="0.25">
      <c r="A1528" t="s">
        <v>3022</v>
      </c>
      <c r="B1528" t="s">
        <v>1454</v>
      </c>
      <c r="C1528" t="s">
        <v>3023</v>
      </c>
      <c r="D1528" t="s">
        <v>16</v>
      </c>
    </row>
    <row r="1529" spans="1:4" x14ac:dyDescent="0.25">
      <c r="A1529" t="s">
        <v>3024</v>
      </c>
      <c r="B1529" t="s">
        <v>1454</v>
      </c>
      <c r="C1529" t="s">
        <v>3025</v>
      </c>
      <c r="D1529" t="s">
        <v>16</v>
      </c>
    </row>
    <row r="1530" spans="1:4" x14ac:dyDescent="0.25">
      <c r="A1530" t="s">
        <v>3026</v>
      </c>
      <c r="B1530" t="s">
        <v>1454</v>
      </c>
      <c r="C1530" t="s">
        <v>3027</v>
      </c>
      <c r="D1530" t="s">
        <v>7</v>
      </c>
    </row>
    <row r="1531" spans="1:4" x14ac:dyDescent="0.25">
      <c r="A1531" t="s">
        <v>3028</v>
      </c>
      <c r="B1531" t="s">
        <v>1454</v>
      </c>
      <c r="C1531" t="s">
        <v>3029</v>
      </c>
      <c r="D1531" t="s">
        <v>106</v>
      </c>
    </row>
    <row r="1532" spans="1:4" x14ac:dyDescent="0.25">
      <c r="A1532" t="s">
        <v>3030</v>
      </c>
      <c r="B1532" t="s">
        <v>1454</v>
      </c>
      <c r="C1532" t="s">
        <v>3031</v>
      </c>
      <c r="D1532" t="s">
        <v>8</v>
      </c>
    </row>
    <row r="1533" spans="1:4" x14ac:dyDescent="0.25">
      <c r="A1533" t="s">
        <v>3032</v>
      </c>
      <c r="B1533" t="s">
        <v>1454</v>
      </c>
      <c r="C1533" t="s">
        <v>3033</v>
      </c>
      <c r="D1533" t="s">
        <v>106</v>
      </c>
    </row>
    <row r="1534" spans="1:4" x14ac:dyDescent="0.25">
      <c r="A1534" t="s">
        <v>3034</v>
      </c>
      <c r="B1534" t="s">
        <v>1454</v>
      </c>
      <c r="C1534" t="s">
        <v>3035</v>
      </c>
      <c r="D1534" t="s">
        <v>106</v>
      </c>
    </row>
    <row r="1535" spans="1:4" x14ac:dyDescent="0.25">
      <c r="A1535" t="s">
        <v>3036</v>
      </c>
      <c r="B1535" t="s">
        <v>1454</v>
      </c>
      <c r="C1535" t="s">
        <v>3037</v>
      </c>
      <c r="D1535" t="s">
        <v>106</v>
      </c>
    </row>
    <row r="1536" spans="1:4" x14ac:dyDescent="0.25">
      <c r="A1536" t="s">
        <v>3038</v>
      </c>
      <c r="B1536" t="s">
        <v>1454</v>
      </c>
      <c r="C1536" t="s">
        <v>3039</v>
      </c>
      <c r="D1536" t="s">
        <v>7</v>
      </c>
    </row>
    <row r="1537" spans="1:4" x14ac:dyDescent="0.25">
      <c r="A1537" t="s">
        <v>3040</v>
      </c>
      <c r="B1537" t="s">
        <v>1454</v>
      </c>
      <c r="C1537" t="s">
        <v>3041</v>
      </c>
      <c r="D1537" t="s">
        <v>7</v>
      </c>
    </row>
    <row r="1538" spans="1:4" x14ac:dyDescent="0.25">
      <c r="A1538" t="s">
        <v>3042</v>
      </c>
      <c r="B1538" t="s">
        <v>1454</v>
      </c>
      <c r="C1538" t="s">
        <v>3043</v>
      </c>
      <c r="D1538" t="s">
        <v>7</v>
      </c>
    </row>
    <row r="1539" spans="1:4" x14ac:dyDescent="0.25">
      <c r="A1539" t="s">
        <v>3044</v>
      </c>
      <c r="B1539" t="s">
        <v>1454</v>
      </c>
      <c r="C1539" t="s">
        <v>3045</v>
      </c>
      <c r="D1539" t="s">
        <v>7</v>
      </c>
    </row>
    <row r="1540" spans="1:4" x14ac:dyDescent="0.25">
      <c r="A1540" t="s">
        <v>3046</v>
      </c>
      <c r="B1540" t="s">
        <v>1454</v>
      </c>
      <c r="C1540" t="s">
        <v>3047</v>
      </c>
      <c r="D1540" t="s">
        <v>7</v>
      </c>
    </row>
    <row r="1541" spans="1:4" x14ac:dyDescent="0.25">
      <c r="A1541" t="s">
        <v>3048</v>
      </c>
      <c r="B1541" t="s">
        <v>1454</v>
      </c>
      <c r="C1541" t="s">
        <v>3049</v>
      </c>
      <c r="D1541" t="s">
        <v>65</v>
      </c>
    </row>
    <row r="1542" spans="1:4" x14ac:dyDescent="0.25">
      <c r="A1542" t="s">
        <v>3050</v>
      </c>
      <c r="B1542" t="s">
        <v>1454</v>
      </c>
      <c r="C1542" t="s">
        <v>3051</v>
      </c>
      <c r="D1542" t="s">
        <v>65</v>
      </c>
    </row>
    <row r="1543" spans="1:4" x14ac:dyDescent="0.25">
      <c r="A1543" t="s">
        <v>3052</v>
      </c>
      <c r="B1543" t="s">
        <v>1454</v>
      </c>
      <c r="C1543" t="s">
        <v>3053</v>
      </c>
      <c r="D1543" t="s">
        <v>65</v>
      </c>
    </row>
    <row r="1544" spans="1:4" x14ac:dyDescent="0.25">
      <c r="A1544" t="s">
        <v>3054</v>
      </c>
      <c r="B1544" t="s">
        <v>1454</v>
      </c>
      <c r="C1544" t="s">
        <v>3055</v>
      </c>
      <c r="D1544" t="s">
        <v>65</v>
      </c>
    </row>
    <row r="1545" spans="1:4" x14ac:dyDescent="0.25">
      <c r="A1545" t="s">
        <v>3056</v>
      </c>
      <c r="B1545" t="s">
        <v>1454</v>
      </c>
      <c r="C1545" t="s">
        <v>3057</v>
      </c>
      <c r="D1545" t="s">
        <v>106</v>
      </c>
    </row>
    <row r="1546" spans="1:4" x14ac:dyDescent="0.25">
      <c r="A1546" t="s">
        <v>3058</v>
      </c>
      <c r="B1546" t="s">
        <v>1454</v>
      </c>
      <c r="C1546" t="s">
        <v>3059</v>
      </c>
      <c r="D1546" t="s">
        <v>7</v>
      </c>
    </row>
    <row r="1547" spans="1:4" x14ac:dyDescent="0.25">
      <c r="A1547" t="s">
        <v>3060</v>
      </c>
      <c r="B1547" t="s">
        <v>1454</v>
      </c>
      <c r="C1547" t="s">
        <v>3061</v>
      </c>
      <c r="D1547" t="s">
        <v>106</v>
      </c>
    </row>
    <row r="1548" spans="1:4" x14ac:dyDescent="0.25">
      <c r="A1548" t="s">
        <v>3062</v>
      </c>
      <c r="B1548" t="s">
        <v>1454</v>
      </c>
      <c r="C1548" t="s">
        <v>3063</v>
      </c>
      <c r="D1548" t="s">
        <v>8</v>
      </c>
    </row>
    <row r="1549" spans="1:4" x14ac:dyDescent="0.25">
      <c r="A1549" t="s">
        <v>3064</v>
      </c>
      <c r="B1549" t="s">
        <v>1454</v>
      </c>
      <c r="C1549" t="s">
        <v>3065</v>
      </c>
      <c r="D1549" t="s">
        <v>8</v>
      </c>
    </row>
    <row r="1550" spans="1:4" x14ac:dyDescent="0.25">
      <c r="A1550" t="s">
        <v>3066</v>
      </c>
      <c r="B1550" t="s">
        <v>1454</v>
      </c>
      <c r="C1550" t="s">
        <v>3067</v>
      </c>
      <c r="D1550" t="s">
        <v>8</v>
      </c>
    </row>
    <row r="1551" spans="1:4" x14ac:dyDescent="0.25">
      <c r="A1551" t="s">
        <v>3068</v>
      </c>
      <c r="B1551" t="s">
        <v>1454</v>
      </c>
      <c r="C1551" t="s">
        <v>3069</v>
      </c>
      <c r="D1551" t="s">
        <v>8</v>
      </c>
    </row>
    <row r="1552" spans="1:4" x14ac:dyDescent="0.25">
      <c r="A1552" t="s">
        <v>3070</v>
      </c>
      <c r="B1552" t="s">
        <v>1454</v>
      </c>
      <c r="C1552" t="s">
        <v>3071</v>
      </c>
      <c r="D1552" t="s">
        <v>8</v>
      </c>
    </row>
    <row r="1553" spans="1:4" x14ac:dyDescent="0.25">
      <c r="A1553" t="s">
        <v>3072</v>
      </c>
      <c r="B1553" t="s">
        <v>1454</v>
      </c>
      <c r="C1553" t="s">
        <v>3073</v>
      </c>
      <c r="D1553" t="s">
        <v>8</v>
      </c>
    </row>
    <row r="1554" spans="1:4" x14ac:dyDescent="0.25">
      <c r="A1554" t="s">
        <v>3074</v>
      </c>
      <c r="B1554" t="s">
        <v>1454</v>
      </c>
      <c r="C1554" t="s">
        <v>3075</v>
      </c>
      <c r="D1554" t="s">
        <v>8</v>
      </c>
    </row>
    <row r="1555" spans="1:4" x14ac:dyDescent="0.25">
      <c r="A1555" t="s">
        <v>3076</v>
      </c>
      <c r="B1555" t="s">
        <v>1454</v>
      </c>
      <c r="C1555" t="s">
        <v>3077</v>
      </c>
      <c r="D1555" t="s">
        <v>8</v>
      </c>
    </row>
    <row r="1556" spans="1:4" x14ac:dyDescent="0.25">
      <c r="A1556" t="s">
        <v>3078</v>
      </c>
      <c r="B1556" t="s">
        <v>1454</v>
      </c>
      <c r="C1556" t="s">
        <v>3079</v>
      </c>
      <c r="D1556" t="s">
        <v>8</v>
      </c>
    </row>
    <row r="1557" spans="1:4" x14ac:dyDescent="0.25">
      <c r="A1557" t="s">
        <v>3080</v>
      </c>
      <c r="B1557" t="s">
        <v>1454</v>
      </c>
      <c r="C1557" t="s">
        <v>3081</v>
      </c>
      <c r="D1557" t="s">
        <v>8</v>
      </c>
    </row>
    <row r="1558" spans="1:4" x14ac:dyDescent="0.25">
      <c r="A1558" t="s">
        <v>3082</v>
      </c>
      <c r="B1558" t="s">
        <v>1454</v>
      </c>
      <c r="C1558" t="s">
        <v>3083</v>
      </c>
      <c r="D1558" t="s">
        <v>8</v>
      </c>
    </row>
    <row r="1559" spans="1:4" x14ac:dyDescent="0.25">
      <c r="A1559" t="s">
        <v>3084</v>
      </c>
      <c r="B1559" t="s">
        <v>1454</v>
      </c>
      <c r="C1559" t="s">
        <v>3085</v>
      </c>
      <c r="D1559" t="s">
        <v>8</v>
      </c>
    </row>
    <row r="1560" spans="1:4" x14ac:dyDescent="0.25">
      <c r="A1560" t="s">
        <v>3086</v>
      </c>
      <c r="B1560" t="s">
        <v>1454</v>
      </c>
      <c r="C1560" t="s">
        <v>3087</v>
      </c>
      <c r="D1560" t="s">
        <v>1886</v>
      </c>
    </row>
    <row r="1561" spans="1:4" x14ac:dyDescent="0.25">
      <c r="A1561" t="s">
        <v>3088</v>
      </c>
      <c r="B1561" t="s">
        <v>1454</v>
      </c>
      <c r="C1561" t="s">
        <v>3089</v>
      </c>
      <c r="D1561" t="s">
        <v>106</v>
      </c>
    </row>
    <row r="1562" spans="1:4" x14ac:dyDescent="0.25">
      <c r="A1562" t="s">
        <v>3090</v>
      </c>
      <c r="B1562" t="s">
        <v>1454</v>
      </c>
      <c r="C1562" t="s">
        <v>3091</v>
      </c>
      <c r="D1562" t="s">
        <v>3092</v>
      </c>
    </row>
    <row r="1563" spans="1:4" x14ac:dyDescent="0.25">
      <c r="A1563" t="s">
        <v>3093</v>
      </c>
      <c r="B1563" t="s">
        <v>1454</v>
      </c>
      <c r="C1563" t="s">
        <v>3094</v>
      </c>
      <c r="D1563" t="s">
        <v>1886</v>
      </c>
    </row>
    <row r="1564" spans="1:4" x14ac:dyDescent="0.25">
      <c r="A1564" t="s">
        <v>3095</v>
      </c>
      <c r="B1564" t="s">
        <v>1454</v>
      </c>
      <c r="C1564" t="s">
        <v>3096</v>
      </c>
      <c r="D1564" t="s">
        <v>3092</v>
      </c>
    </row>
    <row r="1565" spans="1:4" x14ac:dyDescent="0.25">
      <c r="A1565" t="s">
        <v>3097</v>
      </c>
      <c r="B1565" t="s">
        <v>1454</v>
      </c>
      <c r="C1565" t="s">
        <v>3098</v>
      </c>
      <c r="D1565" t="s">
        <v>1886</v>
      </c>
    </row>
    <row r="1566" spans="1:4" x14ac:dyDescent="0.25">
      <c r="A1566" t="s">
        <v>3099</v>
      </c>
      <c r="B1566" t="s">
        <v>1454</v>
      </c>
      <c r="C1566" t="s">
        <v>3100</v>
      </c>
      <c r="D1566" t="s">
        <v>106</v>
      </c>
    </row>
    <row r="1567" spans="1:4" x14ac:dyDescent="0.25">
      <c r="A1567" t="s">
        <v>3101</v>
      </c>
      <c r="B1567" t="s">
        <v>1454</v>
      </c>
      <c r="C1567" t="s">
        <v>3102</v>
      </c>
      <c r="D1567" t="s">
        <v>3092</v>
      </c>
    </row>
    <row r="1568" spans="1:4" x14ac:dyDescent="0.25">
      <c r="A1568" t="s">
        <v>3103</v>
      </c>
      <c r="B1568" t="s">
        <v>1454</v>
      </c>
      <c r="C1568" t="s">
        <v>3104</v>
      </c>
      <c r="D1568" t="s">
        <v>1886</v>
      </c>
    </row>
    <row r="1569" spans="1:4" x14ac:dyDescent="0.25">
      <c r="A1569" t="s">
        <v>3105</v>
      </c>
      <c r="B1569" t="s">
        <v>1454</v>
      </c>
      <c r="C1569" t="s">
        <v>3106</v>
      </c>
      <c r="D1569" t="s">
        <v>1886</v>
      </c>
    </row>
    <row r="1570" spans="1:4" x14ac:dyDescent="0.25">
      <c r="A1570" t="s">
        <v>3107</v>
      </c>
      <c r="B1570" t="s">
        <v>1454</v>
      </c>
      <c r="C1570" t="s">
        <v>3108</v>
      </c>
      <c r="D1570" t="s">
        <v>1886</v>
      </c>
    </row>
    <row r="1571" spans="1:4" x14ac:dyDescent="0.25">
      <c r="A1571" t="s">
        <v>3109</v>
      </c>
      <c r="B1571" t="s">
        <v>1454</v>
      </c>
      <c r="C1571" t="s">
        <v>3110</v>
      </c>
      <c r="D1571" t="s">
        <v>106</v>
      </c>
    </row>
    <row r="1572" spans="1:4" x14ac:dyDescent="0.25">
      <c r="A1572" t="s">
        <v>3111</v>
      </c>
      <c r="B1572" t="s">
        <v>1454</v>
      </c>
      <c r="C1572" t="s">
        <v>3112</v>
      </c>
      <c r="D1572" t="s">
        <v>16</v>
      </c>
    </row>
    <row r="1573" spans="1:4" x14ac:dyDescent="0.25">
      <c r="A1573" t="s">
        <v>3113</v>
      </c>
      <c r="B1573" t="s">
        <v>1454</v>
      </c>
      <c r="C1573" t="s">
        <v>3114</v>
      </c>
      <c r="D1573" t="s">
        <v>16</v>
      </c>
    </row>
    <row r="1574" spans="1:4" x14ac:dyDescent="0.25">
      <c r="A1574" t="s">
        <v>3115</v>
      </c>
      <c r="B1574" t="s">
        <v>1454</v>
      </c>
      <c r="C1574" t="s">
        <v>3116</v>
      </c>
      <c r="D1574" t="s">
        <v>16</v>
      </c>
    </row>
    <row r="1575" spans="1:4" x14ac:dyDescent="0.25">
      <c r="A1575" t="s">
        <v>3117</v>
      </c>
      <c r="B1575" t="s">
        <v>1454</v>
      </c>
      <c r="C1575" t="s">
        <v>3118</v>
      </c>
      <c r="D1575" t="s">
        <v>16</v>
      </c>
    </row>
    <row r="1576" spans="1:4" x14ac:dyDescent="0.25">
      <c r="A1576" t="s">
        <v>3119</v>
      </c>
      <c r="B1576" t="s">
        <v>1454</v>
      </c>
      <c r="C1576" t="s">
        <v>3120</v>
      </c>
      <c r="D1576" t="s">
        <v>106</v>
      </c>
    </row>
    <row r="1577" spans="1:4" x14ac:dyDescent="0.25">
      <c r="A1577" t="s">
        <v>3121</v>
      </c>
      <c r="B1577" t="s">
        <v>1454</v>
      </c>
      <c r="C1577" t="s">
        <v>3122</v>
      </c>
      <c r="D1577" t="s">
        <v>106</v>
      </c>
    </row>
    <row r="1578" spans="1:4" x14ac:dyDescent="0.25">
      <c r="A1578" t="s">
        <v>3123</v>
      </c>
      <c r="B1578" t="s">
        <v>1454</v>
      </c>
      <c r="C1578" t="s">
        <v>3124</v>
      </c>
      <c r="D1578" t="s">
        <v>16</v>
      </c>
    </row>
    <row r="1579" spans="1:4" x14ac:dyDescent="0.25">
      <c r="A1579" t="s">
        <v>3125</v>
      </c>
      <c r="B1579" t="s">
        <v>1454</v>
      </c>
      <c r="C1579" t="s">
        <v>3126</v>
      </c>
      <c r="D1579" t="s">
        <v>7</v>
      </c>
    </row>
    <row r="1580" spans="1:4" x14ac:dyDescent="0.25">
      <c r="A1580" t="s">
        <v>3127</v>
      </c>
      <c r="B1580" t="s">
        <v>1454</v>
      </c>
      <c r="C1580" t="s">
        <v>3128</v>
      </c>
      <c r="D1580" t="s">
        <v>7</v>
      </c>
    </row>
    <row r="1581" spans="1:4" x14ac:dyDescent="0.25">
      <c r="A1581" t="s">
        <v>3129</v>
      </c>
      <c r="B1581" t="s">
        <v>1454</v>
      </c>
      <c r="C1581" t="s">
        <v>3130</v>
      </c>
      <c r="D1581" t="s">
        <v>106</v>
      </c>
    </row>
    <row r="1582" spans="1:4" x14ac:dyDescent="0.25">
      <c r="A1582" t="s">
        <v>3131</v>
      </c>
      <c r="B1582" t="s">
        <v>1454</v>
      </c>
      <c r="C1582" t="s">
        <v>3132</v>
      </c>
      <c r="D1582" t="s">
        <v>7</v>
      </c>
    </row>
    <row r="1583" spans="1:4" x14ac:dyDescent="0.25">
      <c r="A1583" t="s">
        <v>3133</v>
      </c>
      <c r="B1583" t="s">
        <v>1454</v>
      </c>
      <c r="C1583" t="s">
        <v>3134</v>
      </c>
      <c r="D1583" t="s">
        <v>7</v>
      </c>
    </row>
    <row r="1584" spans="1:4" x14ac:dyDescent="0.25">
      <c r="A1584" t="s">
        <v>3135</v>
      </c>
      <c r="B1584" t="s">
        <v>1454</v>
      </c>
      <c r="C1584" t="s">
        <v>3136</v>
      </c>
      <c r="D1584" t="s">
        <v>16</v>
      </c>
    </row>
    <row r="1585" spans="1:4" x14ac:dyDescent="0.25">
      <c r="A1585" t="s">
        <v>3137</v>
      </c>
      <c r="B1585" t="s">
        <v>1454</v>
      </c>
      <c r="C1585" t="s">
        <v>3138</v>
      </c>
      <c r="D1585" t="s">
        <v>7</v>
      </c>
    </row>
    <row r="1586" spans="1:4" x14ac:dyDescent="0.25">
      <c r="A1586" t="s">
        <v>3139</v>
      </c>
      <c r="B1586" t="s">
        <v>1454</v>
      </c>
      <c r="C1586" t="s">
        <v>3140</v>
      </c>
      <c r="D1586" t="s">
        <v>8</v>
      </c>
    </row>
    <row r="1587" spans="1:4" x14ac:dyDescent="0.25">
      <c r="A1587" t="s">
        <v>3141</v>
      </c>
      <c r="B1587" t="s">
        <v>1454</v>
      </c>
      <c r="C1587" t="s">
        <v>3142</v>
      </c>
      <c r="D1587" t="s">
        <v>106</v>
      </c>
    </row>
    <row r="1588" spans="1:4" x14ac:dyDescent="0.25">
      <c r="A1588" t="s">
        <v>3143</v>
      </c>
      <c r="B1588" t="s">
        <v>1454</v>
      </c>
      <c r="C1588" t="s">
        <v>3144</v>
      </c>
      <c r="D1588" t="s">
        <v>7</v>
      </c>
    </row>
    <row r="1589" spans="1:4" x14ac:dyDescent="0.25">
      <c r="A1589" t="s">
        <v>3145</v>
      </c>
      <c r="B1589" t="s">
        <v>1454</v>
      </c>
      <c r="C1589" t="s">
        <v>3146</v>
      </c>
      <c r="D1589" t="s">
        <v>7</v>
      </c>
    </row>
    <row r="1590" spans="1:4" x14ac:dyDescent="0.25">
      <c r="A1590" t="s">
        <v>3147</v>
      </c>
      <c r="B1590" t="s">
        <v>1454</v>
      </c>
      <c r="C1590" t="s">
        <v>3148</v>
      </c>
      <c r="D1590" t="s">
        <v>7</v>
      </c>
    </row>
    <row r="1591" spans="1:4" x14ac:dyDescent="0.25">
      <c r="A1591" t="s">
        <v>3149</v>
      </c>
      <c r="B1591" t="s">
        <v>1454</v>
      </c>
      <c r="C1591" t="s">
        <v>3150</v>
      </c>
      <c r="D1591" t="s">
        <v>7</v>
      </c>
    </row>
    <row r="1592" spans="1:4" x14ac:dyDescent="0.25">
      <c r="A1592" t="s">
        <v>3151</v>
      </c>
      <c r="B1592" t="s">
        <v>1454</v>
      </c>
      <c r="C1592" t="s">
        <v>3152</v>
      </c>
      <c r="D1592" t="s">
        <v>7</v>
      </c>
    </row>
    <row r="1593" spans="1:4" x14ac:dyDescent="0.25">
      <c r="A1593" t="s">
        <v>3153</v>
      </c>
      <c r="B1593" t="s">
        <v>1454</v>
      </c>
      <c r="C1593" t="s">
        <v>3154</v>
      </c>
      <c r="D1593" t="s">
        <v>7</v>
      </c>
    </row>
    <row r="1594" spans="1:4" x14ac:dyDescent="0.25">
      <c r="A1594" t="s">
        <v>3155</v>
      </c>
      <c r="B1594" t="s">
        <v>1454</v>
      </c>
      <c r="C1594" t="s">
        <v>3156</v>
      </c>
      <c r="D1594" t="s">
        <v>106</v>
      </c>
    </row>
    <row r="1595" spans="1:4" x14ac:dyDescent="0.25">
      <c r="A1595" t="s">
        <v>3157</v>
      </c>
      <c r="B1595" t="s">
        <v>1454</v>
      </c>
      <c r="C1595" t="s">
        <v>3158</v>
      </c>
      <c r="D1595" t="s">
        <v>65</v>
      </c>
    </row>
    <row r="1596" spans="1:4" x14ac:dyDescent="0.25">
      <c r="A1596" t="s">
        <v>3159</v>
      </c>
      <c r="B1596" t="s">
        <v>1454</v>
      </c>
      <c r="C1596" t="s">
        <v>3160</v>
      </c>
      <c r="D1596" t="s">
        <v>65</v>
      </c>
    </row>
    <row r="1597" spans="1:4" x14ac:dyDescent="0.25">
      <c r="A1597" t="s">
        <v>3161</v>
      </c>
      <c r="B1597" t="s">
        <v>1454</v>
      </c>
      <c r="C1597" t="s">
        <v>3162</v>
      </c>
      <c r="D1597" t="s">
        <v>65</v>
      </c>
    </row>
    <row r="1598" spans="1:4" x14ac:dyDescent="0.25">
      <c r="A1598" t="s">
        <v>3163</v>
      </c>
      <c r="B1598" t="s">
        <v>1454</v>
      </c>
      <c r="C1598" t="s">
        <v>3164</v>
      </c>
      <c r="D1598" t="s">
        <v>65</v>
      </c>
    </row>
    <row r="1599" spans="1:4" x14ac:dyDescent="0.25">
      <c r="A1599" t="s">
        <v>3165</v>
      </c>
      <c r="B1599" t="s">
        <v>1454</v>
      </c>
      <c r="C1599" t="s">
        <v>3166</v>
      </c>
      <c r="D1599" t="s">
        <v>65</v>
      </c>
    </row>
    <row r="1600" spans="1:4" x14ac:dyDescent="0.25">
      <c r="A1600" t="s">
        <v>3167</v>
      </c>
      <c r="B1600" t="s">
        <v>1454</v>
      </c>
      <c r="C1600" t="s">
        <v>3168</v>
      </c>
      <c r="D1600" t="s">
        <v>106</v>
      </c>
    </row>
    <row r="1601" spans="1:4" x14ac:dyDescent="0.25">
      <c r="A1601" t="s">
        <v>3169</v>
      </c>
      <c r="B1601" t="s">
        <v>1454</v>
      </c>
      <c r="C1601" t="s">
        <v>3170</v>
      </c>
      <c r="D1601" t="s">
        <v>1886</v>
      </c>
    </row>
    <row r="1602" spans="1:4" x14ac:dyDescent="0.25">
      <c r="A1602" t="s">
        <v>3171</v>
      </c>
      <c r="B1602" t="s">
        <v>1454</v>
      </c>
      <c r="C1602" t="s">
        <v>3172</v>
      </c>
      <c r="D1602" t="s">
        <v>16</v>
      </c>
    </row>
    <row r="1603" spans="1:4" x14ac:dyDescent="0.25">
      <c r="A1603" t="s">
        <v>3173</v>
      </c>
      <c r="B1603" t="s">
        <v>1454</v>
      </c>
      <c r="C1603" t="s">
        <v>3174</v>
      </c>
      <c r="D1603" t="s">
        <v>1886</v>
      </c>
    </row>
    <row r="1604" spans="1:4" x14ac:dyDescent="0.25">
      <c r="A1604" t="s">
        <v>3175</v>
      </c>
      <c r="B1604" t="s">
        <v>1454</v>
      </c>
      <c r="C1604" t="s">
        <v>3176</v>
      </c>
      <c r="D1604" t="s">
        <v>106</v>
      </c>
    </row>
    <row r="1605" spans="1:4" x14ac:dyDescent="0.25">
      <c r="A1605" t="s">
        <v>3177</v>
      </c>
      <c r="B1605" t="s">
        <v>1454</v>
      </c>
      <c r="C1605" t="s">
        <v>3178</v>
      </c>
      <c r="D1605" t="s">
        <v>16</v>
      </c>
    </row>
    <row r="1606" spans="1:4" x14ac:dyDescent="0.25">
      <c r="A1606" t="s">
        <v>3179</v>
      </c>
      <c r="B1606" t="s">
        <v>1454</v>
      </c>
      <c r="C1606" t="s">
        <v>3180</v>
      </c>
      <c r="D1606" t="s">
        <v>1886</v>
      </c>
    </row>
    <row r="1607" spans="1:4" x14ac:dyDescent="0.25">
      <c r="A1607" t="s">
        <v>3181</v>
      </c>
      <c r="B1607" t="s">
        <v>1454</v>
      </c>
      <c r="C1607" t="s">
        <v>3182</v>
      </c>
      <c r="D1607" t="s">
        <v>16</v>
      </c>
    </row>
    <row r="1608" spans="1:4" x14ac:dyDescent="0.25">
      <c r="A1608" t="s">
        <v>3183</v>
      </c>
      <c r="B1608" t="s">
        <v>1454</v>
      </c>
      <c r="C1608" t="s">
        <v>3184</v>
      </c>
      <c r="D1608" t="s">
        <v>7</v>
      </c>
    </row>
    <row r="1609" spans="1:4" x14ac:dyDescent="0.25">
      <c r="A1609" t="s">
        <v>3185</v>
      </c>
      <c r="B1609" t="s">
        <v>1454</v>
      </c>
      <c r="C1609" t="s">
        <v>3186</v>
      </c>
      <c r="D1609" t="s">
        <v>16</v>
      </c>
    </row>
    <row r="1610" spans="1:4" x14ac:dyDescent="0.25">
      <c r="A1610" t="s">
        <v>3187</v>
      </c>
      <c r="B1610" t="s">
        <v>1454</v>
      </c>
      <c r="C1610" t="s">
        <v>3188</v>
      </c>
      <c r="D1610" t="s">
        <v>16</v>
      </c>
    </row>
    <row r="1611" spans="1:4" x14ac:dyDescent="0.25">
      <c r="A1611" t="s">
        <v>3189</v>
      </c>
      <c r="B1611" t="s">
        <v>1454</v>
      </c>
      <c r="C1611" t="s">
        <v>3190</v>
      </c>
      <c r="D1611" t="s">
        <v>16</v>
      </c>
    </row>
    <row r="1612" spans="1:4" x14ac:dyDescent="0.25">
      <c r="A1612" t="s">
        <v>3191</v>
      </c>
      <c r="B1612" t="s">
        <v>1454</v>
      </c>
      <c r="C1612" t="s">
        <v>3192</v>
      </c>
      <c r="D1612" t="s">
        <v>7</v>
      </c>
    </row>
    <row r="1613" spans="1:4" x14ac:dyDescent="0.25">
      <c r="A1613" t="s">
        <v>3193</v>
      </c>
      <c r="B1613" t="s">
        <v>1454</v>
      </c>
      <c r="C1613" t="s">
        <v>3194</v>
      </c>
      <c r="D1613" t="s">
        <v>16</v>
      </c>
    </row>
    <row r="1614" spans="1:4" x14ac:dyDescent="0.25">
      <c r="A1614" t="s">
        <v>3195</v>
      </c>
      <c r="B1614" t="s">
        <v>1454</v>
      </c>
      <c r="C1614" t="s">
        <v>3196</v>
      </c>
      <c r="D1614" t="s">
        <v>65</v>
      </c>
    </row>
    <row r="1615" spans="1:4" x14ac:dyDescent="0.25">
      <c r="A1615" t="s">
        <v>3197</v>
      </c>
      <c r="B1615" t="s">
        <v>1454</v>
      </c>
      <c r="C1615" t="s">
        <v>3198</v>
      </c>
      <c r="D1615" t="s">
        <v>7</v>
      </c>
    </row>
    <row r="1616" spans="1:4" x14ac:dyDescent="0.25">
      <c r="A1616" t="s">
        <v>3199</v>
      </c>
      <c r="B1616" t="s">
        <v>1454</v>
      </c>
      <c r="C1616" t="s">
        <v>3200</v>
      </c>
      <c r="D1616" t="s">
        <v>7</v>
      </c>
    </row>
    <row r="1617" spans="1:4" x14ac:dyDescent="0.25">
      <c r="A1617" t="s">
        <v>3201</v>
      </c>
      <c r="B1617" t="s">
        <v>1454</v>
      </c>
      <c r="C1617" t="s">
        <v>3202</v>
      </c>
      <c r="D1617" t="s">
        <v>16</v>
      </c>
    </row>
    <row r="1618" spans="1:4" x14ac:dyDescent="0.25">
      <c r="A1618" t="s">
        <v>3203</v>
      </c>
      <c r="B1618" t="s">
        <v>1454</v>
      </c>
      <c r="C1618" t="s">
        <v>3204</v>
      </c>
      <c r="D1618" t="s">
        <v>106</v>
      </c>
    </row>
    <row r="1619" spans="1:4" x14ac:dyDescent="0.25">
      <c r="A1619" t="s">
        <v>3205</v>
      </c>
      <c r="B1619" t="s">
        <v>1454</v>
      </c>
      <c r="C1619" t="s">
        <v>3206</v>
      </c>
      <c r="D1619" t="s">
        <v>16</v>
      </c>
    </row>
    <row r="1620" spans="1:4" x14ac:dyDescent="0.25">
      <c r="A1620" t="s">
        <v>3207</v>
      </c>
      <c r="B1620" t="s">
        <v>1454</v>
      </c>
      <c r="C1620" t="s">
        <v>3208</v>
      </c>
      <c r="D1620" t="s">
        <v>106</v>
      </c>
    </row>
    <row r="1621" spans="1:4" x14ac:dyDescent="0.25">
      <c r="A1621" t="s">
        <v>3209</v>
      </c>
      <c r="B1621" t="s">
        <v>1454</v>
      </c>
      <c r="C1621" t="s">
        <v>3210</v>
      </c>
      <c r="D1621" t="s">
        <v>106</v>
      </c>
    </row>
    <row r="1622" spans="1:4" x14ac:dyDescent="0.25">
      <c r="A1622" t="s">
        <v>3211</v>
      </c>
      <c r="B1622" t="s">
        <v>1454</v>
      </c>
      <c r="C1622" t="s">
        <v>3212</v>
      </c>
      <c r="D1622" t="s">
        <v>106</v>
      </c>
    </row>
    <row r="1623" spans="1:4" x14ac:dyDescent="0.25">
      <c r="A1623" t="s">
        <v>3213</v>
      </c>
      <c r="B1623" t="s">
        <v>1454</v>
      </c>
      <c r="C1623" t="s">
        <v>3214</v>
      </c>
      <c r="D1623" t="s">
        <v>106</v>
      </c>
    </row>
    <row r="1624" spans="1:4" x14ac:dyDescent="0.25">
      <c r="A1624" t="s">
        <v>3215</v>
      </c>
      <c r="B1624" t="s">
        <v>1454</v>
      </c>
      <c r="C1624" t="s">
        <v>3216</v>
      </c>
      <c r="D1624" t="s">
        <v>106</v>
      </c>
    </row>
    <row r="1625" spans="1:4" x14ac:dyDescent="0.25">
      <c r="A1625" t="s">
        <v>3217</v>
      </c>
      <c r="B1625" t="s">
        <v>1454</v>
      </c>
      <c r="C1625" t="s">
        <v>3218</v>
      </c>
      <c r="D1625" t="s">
        <v>106</v>
      </c>
    </row>
    <row r="1626" spans="1:4" x14ac:dyDescent="0.25">
      <c r="A1626" t="s">
        <v>3219</v>
      </c>
      <c r="B1626" t="s">
        <v>1454</v>
      </c>
      <c r="C1626" t="s">
        <v>3220</v>
      </c>
      <c r="D1626" t="s">
        <v>106</v>
      </c>
    </row>
    <row r="1627" spans="1:4" x14ac:dyDescent="0.25">
      <c r="A1627" t="s">
        <v>3221</v>
      </c>
      <c r="B1627" t="s">
        <v>1454</v>
      </c>
      <c r="C1627" t="s">
        <v>3222</v>
      </c>
      <c r="D1627" t="s">
        <v>106</v>
      </c>
    </row>
    <row r="1628" spans="1:4" x14ac:dyDescent="0.25">
      <c r="A1628" t="s">
        <v>3223</v>
      </c>
      <c r="B1628" t="s">
        <v>1454</v>
      </c>
      <c r="C1628" t="s">
        <v>3224</v>
      </c>
      <c r="D1628" t="s">
        <v>106</v>
      </c>
    </row>
    <row r="1629" spans="1:4" x14ac:dyDescent="0.25">
      <c r="A1629" t="s">
        <v>3225</v>
      </c>
      <c r="B1629" t="s">
        <v>1454</v>
      </c>
      <c r="C1629" t="s">
        <v>3226</v>
      </c>
      <c r="D1629" t="s">
        <v>106</v>
      </c>
    </row>
    <row r="1630" spans="1:4" x14ac:dyDescent="0.25">
      <c r="A1630" t="s">
        <v>3227</v>
      </c>
      <c r="B1630" t="s">
        <v>1454</v>
      </c>
      <c r="C1630" t="s">
        <v>3228</v>
      </c>
      <c r="D1630" t="s">
        <v>106</v>
      </c>
    </row>
    <row r="1631" spans="1:4" x14ac:dyDescent="0.25">
      <c r="A1631" t="s">
        <v>3229</v>
      </c>
      <c r="B1631" t="s">
        <v>1454</v>
      </c>
      <c r="C1631" t="s">
        <v>3230</v>
      </c>
      <c r="D1631" t="s">
        <v>106</v>
      </c>
    </row>
    <row r="1632" spans="1:4" x14ac:dyDescent="0.25">
      <c r="A1632" t="s">
        <v>3231</v>
      </c>
      <c r="B1632" t="s">
        <v>1454</v>
      </c>
      <c r="C1632" t="s">
        <v>3232</v>
      </c>
      <c r="D1632" t="s">
        <v>106</v>
      </c>
    </row>
    <row r="1633" spans="1:4" x14ac:dyDescent="0.25">
      <c r="A1633" t="s">
        <v>3233</v>
      </c>
      <c r="B1633" t="s">
        <v>1454</v>
      </c>
      <c r="C1633" t="s">
        <v>3234</v>
      </c>
      <c r="D1633" t="s">
        <v>106</v>
      </c>
    </row>
    <row r="1634" spans="1:4" x14ac:dyDescent="0.25">
      <c r="A1634" t="s">
        <v>3235</v>
      </c>
      <c r="B1634" t="s">
        <v>1454</v>
      </c>
      <c r="C1634" t="s">
        <v>3236</v>
      </c>
      <c r="D1634" t="s">
        <v>106</v>
      </c>
    </row>
    <row r="1635" spans="1:4" x14ac:dyDescent="0.25">
      <c r="A1635" t="s">
        <v>3237</v>
      </c>
      <c r="B1635" t="s">
        <v>1454</v>
      </c>
      <c r="C1635" t="s">
        <v>3238</v>
      </c>
      <c r="D1635" t="s">
        <v>106</v>
      </c>
    </row>
    <row r="1636" spans="1:4" x14ac:dyDescent="0.25">
      <c r="A1636" t="s">
        <v>3239</v>
      </c>
      <c r="B1636" t="s">
        <v>1454</v>
      </c>
      <c r="C1636" t="s">
        <v>3240</v>
      </c>
      <c r="D1636" t="s">
        <v>16</v>
      </c>
    </row>
    <row r="1637" spans="1:4" x14ac:dyDescent="0.25">
      <c r="A1637" t="s">
        <v>3241</v>
      </c>
      <c r="B1637" t="s">
        <v>1454</v>
      </c>
      <c r="C1637" t="s">
        <v>3242</v>
      </c>
      <c r="D1637" t="s">
        <v>16</v>
      </c>
    </row>
    <row r="1638" spans="1:4" x14ac:dyDescent="0.25">
      <c r="A1638" t="s">
        <v>3243</v>
      </c>
      <c r="B1638" t="s">
        <v>1454</v>
      </c>
      <c r="C1638" t="s">
        <v>3244</v>
      </c>
      <c r="D1638" t="s">
        <v>16</v>
      </c>
    </row>
    <row r="1639" spans="1:4" x14ac:dyDescent="0.25">
      <c r="A1639" t="s">
        <v>3245</v>
      </c>
      <c r="B1639" t="s">
        <v>1454</v>
      </c>
      <c r="C1639" t="s">
        <v>3246</v>
      </c>
      <c r="D1639" t="s">
        <v>106</v>
      </c>
    </row>
    <row r="1640" spans="1:4" x14ac:dyDescent="0.25">
      <c r="A1640" t="s">
        <v>3247</v>
      </c>
      <c r="B1640" t="s">
        <v>1454</v>
      </c>
      <c r="C1640" t="s">
        <v>3248</v>
      </c>
      <c r="D1640" t="s">
        <v>3249</v>
      </c>
    </row>
    <row r="1641" spans="1:4" x14ac:dyDescent="0.25">
      <c r="A1641" t="s">
        <v>3250</v>
      </c>
      <c r="B1641" t="s">
        <v>1454</v>
      </c>
      <c r="C1641" t="s">
        <v>3251</v>
      </c>
      <c r="D1641" t="s">
        <v>106</v>
      </c>
    </row>
    <row r="1642" spans="1:4" x14ac:dyDescent="0.25">
      <c r="A1642" t="s">
        <v>3252</v>
      </c>
      <c r="B1642" t="s">
        <v>1454</v>
      </c>
      <c r="C1642" t="s">
        <v>3253</v>
      </c>
      <c r="D1642" t="s">
        <v>3249</v>
      </c>
    </row>
    <row r="1643" spans="1:4" x14ac:dyDescent="0.25">
      <c r="A1643" t="s">
        <v>3254</v>
      </c>
      <c r="B1643" t="s">
        <v>1454</v>
      </c>
      <c r="C1643" t="s">
        <v>3255</v>
      </c>
      <c r="D1643" t="s">
        <v>106</v>
      </c>
    </row>
    <row r="1644" spans="1:4" x14ac:dyDescent="0.25">
      <c r="A1644" t="s">
        <v>3256</v>
      </c>
      <c r="B1644" t="s">
        <v>1454</v>
      </c>
      <c r="C1644" t="s">
        <v>3257</v>
      </c>
      <c r="D1644" t="s">
        <v>106</v>
      </c>
    </row>
    <row r="1645" spans="1:4" x14ac:dyDescent="0.25">
      <c r="A1645" t="s">
        <v>3258</v>
      </c>
      <c r="B1645" t="s">
        <v>1454</v>
      </c>
      <c r="C1645" t="s">
        <v>3259</v>
      </c>
      <c r="D1645" t="s">
        <v>3249</v>
      </c>
    </row>
    <row r="1646" spans="1:4" x14ac:dyDescent="0.25">
      <c r="A1646" t="s">
        <v>3260</v>
      </c>
      <c r="B1646" t="s">
        <v>1454</v>
      </c>
      <c r="C1646" t="s">
        <v>3261</v>
      </c>
      <c r="D1646" t="s">
        <v>3249</v>
      </c>
    </row>
    <row r="1647" spans="1:4" x14ac:dyDescent="0.25">
      <c r="A1647" t="s">
        <v>3262</v>
      </c>
      <c r="B1647" t="s">
        <v>1454</v>
      </c>
      <c r="C1647" t="s">
        <v>3263</v>
      </c>
      <c r="D1647" t="s">
        <v>106</v>
      </c>
    </row>
    <row r="1648" spans="1:4" x14ac:dyDescent="0.25">
      <c r="A1648" t="s">
        <v>3264</v>
      </c>
      <c r="B1648" t="s">
        <v>1454</v>
      </c>
      <c r="C1648" t="s">
        <v>3265</v>
      </c>
      <c r="D1648" t="s">
        <v>16</v>
      </c>
    </row>
    <row r="1649" spans="1:4" x14ac:dyDescent="0.25">
      <c r="A1649" t="s">
        <v>3266</v>
      </c>
      <c r="B1649" t="s">
        <v>1454</v>
      </c>
      <c r="C1649" t="s">
        <v>3267</v>
      </c>
      <c r="D1649" t="s">
        <v>3249</v>
      </c>
    </row>
    <row r="1650" spans="1:4" x14ac:dyDescent="0.25">
      <c r="A1650" t="s">
        <v>3268</v>
      </c>
      <c r="B1650" t="s">
        <v>1454</v>
      </c>
      <c r="C1650" t="s">
        <v>3269</v>
      </c>
      <c r="D1650" t="s">
        <v>16</v>
      </c>
    </row>
    <row r="1651" spans="1:4" x14ac:dyDescent="0.25">
      <c r="A1651" t="s">
        <v>3270</v>
      </c>
      <c r="B1651" t="s">
        <v>1454</v>
      </c>
      <c r="C1651" t="s">
        <v>3271</v>
      </c>
      <c r="D1651" t="s">
        <v>106</v>
      </c>
    </row>
    <row r="1652" spans="1:4" x14ac:dyDescent="0.25">
      <c r="A1652" t="s">
        <v>3272</v>
      </c>
      <c r="B1652" t="s">
        <v>1454</v>
      </c>
      <c r="C1652" t="s">
        <v>3273</v>
      </c>
      <c r="D1652" t="s">
        <v>106</v>
      </c>
    </row>
    <row r="1653" spans="1:4" x14ac:dyDescent="0.25">
      <c r="A1653" t="s">
        <v>3274</v>
      </c>
      <c r="B1653" t="s">
        <v>1454</v>
      </c>
      <c r="C1653" t="s">
        <v>3275</v>
      </c>
      <c r="D1653" t="s">
        <v>106</v>
      </c>
    </row>
    <row r="1654" spans="1:4" x14ac:dyDescent="0.25">
      <c r="A1654" t="s">
        <v>3276</v>
      </c>
      <c r="B1654" t="s">
        <v>1454</v>
      </c>
      <c r="C1654" t="s">
        <v>3277</v>
      </c>
      <c r="D1654" t="s">
        <v>106</v>
      </c>
    </row>
    <row r="1655" spans="1:4" x14ac:dyDescent="0.25">
      <c r="A1655" t="s">
        <v>3278</v>
      </c>
      <c r="B1655" t="s">
        <v>1454</v>
      </c>
      <c r="C1655" t="s">
        <v>3279</v>
      </c>
      <c r="D1655" t="s">
        <v>106</v>
      </c>
    </row>
    <row r="1656" spans="1:4" x14ac:dyDescent="0.25">
      <c r="A1656" t="s">
        <v>3280</v>
      </c>
      <c r="B1656" t="s">
        <v>1454</v>
      </c>
      <c r="C1656" t="s">
        <v>3281</v>
      </c>
      <c r="D1656" t="s">
        <v>106</v>
      </c>
    </row>
    <row r="1657" spans="1:4" x14ac:dyDescent="0.25">
      <c r="A1657" t="s">
        <v>3282</v>
      </c>
      <c r="B1657" t="s">
        <v>1454</v>
      </c>
      <c r="C1657" t="s">
        <v>3283</v>
      </c>
      <c r="D1657" t="s">
        <v>16</v>
      </c>
    </row>
    <row r="1658" spans="1:4" x14ac:dyDescent="0.25">
      <c r="A1658" t="s">
        <v>3284</v>
      </c>
      <c r="B1658" t="s">
        <v>1454</v>
      </c>
      <c r="C1658" t="s">
        <v>3285</v>
      </c>
      <c r="D1658" t="s">
        <v>106</v>
      </c>
    </row>
    <row r="1659" spans="1:4" x14ac:dyDescent="0.25">
      <c r="A1659" t="s">
        <v>3286</v>
      </c>
      <c r="B1659" t="s">
        <v>1454</v>
      </c>
      <c r="C1659" t="s">
        <v>3287</v>
      </c>
      <c r="D1659" t="s">
        <v>16</v>
      </c>
    </row>
    <row r="1660" spans="1:4" x14ac:dyDescent="0.25">
      <c r="A1660" t="s">
        <v>3288</v>
      </c>
      <c r="B1660" t="s">
        <v>1454</v>
      </c>
      <c r="C1660" t="s">
        <v>3289</v>
      </c>
      <c r="D1660" t="s">
        <v>3249</v>
      </c>
    </row>
    <row r="1661" spans="1:4" x14ac:dyDescent="0.25">
      <c r="A1661" t="s">
        <v>3290</v>
      </c>
      <c r="B1661" t="s">
        <v>1454</v>
      </c>
      <c r="C1661" t="s">
        <v>3291</v>
      </c>
      <c r="D1661" t="s">
        <v>16</v>
      </c>
    </row>
    <row r="1662" spans="1:4" x14ac:dyDescent="0.25">
      <c r="A1662" t="s">
        <v>3292</v>
      </c>
      <c r="B1662" t="s">
        <v>1454</v>
      </c>
      <c r="C1662" t="s">
        <v>3293</v>
      </c>
      <c r="D1662" t="s">
        <v>106</v>
      </c>
    </row>
    <row r="1663" spans="1:4" x14ac:dyDescent="0.25">
      <c r="A1663" t="s">
        <v>3294</v>
      </c>
      <c r="B1663" t="s">
        <v>1454</v>
      </c>
      <c r="C1663" t="s">
        <v>3295</v>
      </c>
      <c r="D1663" t="s">
        <v>106</v>
      </c>
    </row>
    <row r="1664" spans="1:4" x14ac:dyDescent="0.25">
      <c r="A1664" t="s">
        <v>3296</v>
      </c>
      <c r="B1664" t="s">
        <v>1454</v>
      </c>
      <c r="C1664" t="s">
        <v>3297</v>
      </c>
      <c r="D1664" t="s">
        <v>106</v>
      </c>
    </row>
    <row r="1665" spans="1:4" x14ac:dyDescent="0.25">
      <c r="A1665" t="s">
        <v>3298</v>
      </c>
      <c r="B1665" t="s">
        <v>1454</v>
      </c>
      <c r="C1665" t="s">
        <v>3299</v>
      </c>
      <c r="D1665" t="s">
        <v>106</v>
      </c>
    </row>
    <row r="1666" spans="1:4" x14ac:dyDescent="0.25">
      <c r="A1666" t="s">
        <v>3300</v>
      </c>
      <c r="B1666" t="s">
        <v>1454</v>
      </c>
      <c r="C1666" t="s">
        <v>3301</v>
      </c>
      <c r="D1666" t="s">
        <v>106</v>
      </c>
    </row>
    <row r="1667" spans="1:4" x14ac:dyDescent="0.25">
      <c r="A1667" t="s">
        <v>3302</v>
      </c>
      <c r="B1667" t="s">
        <v>1454</v>
      </c>
      <c r="C1667" t="s">
        <v>3303</v>
      </c>
      <c r="D1667" t="s">
        <v>106</v>
      </c>
    </row>
    <row r="1668" spans="1:4" x14ac:dyDescent="0.25">
      <c r="A1668" t="s">
        <v>3304</v>
      </c>
      <c r="B1668" t="s">
        <v>1454</v>
      </c>
      <c r="C1668" t="s">
        <v>3305</v>
      </c>
      <c r="D1668" t="s">
        <v>106</v>
      </c>
    </row>
    <row r="1669" spans="1:4" x14ac:dyDescent="0.25">
      <c r="A1669" t="s">
        <v>3306</v>
      </c>
      <c r="B1669" t="s">
        <v>1454</v>
      </c>
      <c r="C1669" t="s">
        <v>3307</v>
      </c>
      <c r="D1669" t="s">
        <v>16</v>
      </c>
    </row>
    <row r="1670" spans="1:4" x14ac:dyDescent="0.25">
      <c r="A1670" t="s">
        <v>3308</v>
      </c>
      <c r="B1670" t="s">
        <v>1454</v>
      </c>
      <c r="C1670" t="s">
        <v>3309</v>
      </c>
      <c r="D1670" t="s">
        <v>106</v>
      </c>
    </row>
    <row r="1671" spans="1:4" x14ac:dyDescent="0.25">
      <c r="A1671" t="s">
        <v>3310</v>
      </c>
      <c r="B1671" t="s">
        <v>1454</v>
      </c>
      <c r="C1671" t="s">
        <v>3311</v>
      </c>
      <c r="D1671" t="s">
        <v>106</v>
      </c>
    </row>
    <row r="1672" spans="1:4" x14ac:dyDescent="0.25">
      <c r="A1672" t="s">
        <v>3312</v>
      </c>
      <c r="B1672" t="s">
        <v>1454</v>
      </c>
      <c r="C1672" t="s">
        <v>3313</v>
      </c>
      <c r="D1672" t="s">
        <v>106</v>
      </c>
    </row>
    <row r="1673" spans="1:4" x14ac:dyDescent="0.25">
      <c r="A1673" t="s">
        <v>3314</v>
      </c>
      <c r="B1673" t="s">
        <v>1454</v>
      </c>
      <c r="C1673" t="s">
        <v>3315</v>
      </c>
      <c r="D1673" t="s">
        <v>106</v>
      </c>
    </row>
    <row r="1674" spans="1:4" x14ac:dyDescent="0.25">
      <c r="A1674" t="s">
        <v>3316</v>
      </c>
      <c r="B1674" t="s">
        <v>1454</v>
      </c>
      <c r="C1674" t="s">
        <v>3317</v>
      </c>
      <c r="D1674" t="s">
        <v>106</v>
      </c>
    </row>
    <row r="1675" spans="1:4" x14ac:dyDescent="0.25">
      <c r="A1675" t="s">
        <v>3318</v>
      </c>
      <c r="B1675" t="s">
        <v>1454</v>
      </c>
      <c r="C1675" t="s">
        <v>3319</v>
      </c>
      <c r="D1675" t="s">
        <v>106</v>
      </c>
    </row>
    <row r="1676" spans="1:4" x14ac:dyDescent="0.25">
      <c r="A1676" t="s">
        <v>3320</v>
      </c>
      <c r="B1676" t="s">
        <v>1454</v>
      </c>
      <c r="C1676" t="s">
        <v>3321</v>
      </c>
      <c r="D1676" t="s">
        <v>16</v>
      </c>
    </row>
    <row r="1677" spans="1:4" x14ac:dyDescent="0.25">
      <c r="A1677" t="s">
        <v>3322</v>
      </c>
      <c r="B1677" t="s">
        <v>1454</v>
      </c>
      <c r="C1677" t="s">
        <v>3263</v>
      </c>
      <c r="D1677" t="s">
        <v>106</v>
      </c>
    </row>
    <row r="1678" spans="1:4" x14ac:dyDescent="0.25">
      <c r="A1678" t="s">
        <v>3323</v>
      </c>
      <c r="B1678" t="s">
        <v>1454</v>
      </c>
      <c r="C1678" t="s">
        <v>3324</v>
      </c>
      <c r="D1678" t="s">
        <v>16</v>
      </c>
    </row>
    <row r="1679" spans="1:4" x14ac:dyDescent="0.25">
      <c r="A1679" t="s">
        <v>3325</v>
      </c>
      <c r="B1679" t="s">
        <v>1454</v>
      </c>
      <c r="C1679" t="s">
        <v>3326</v>
      </c>
      <c r="D1679" t="s">
        <v>16</v>
      </c>
    </row>
    <row r="1680" spans="1:4" x14ac:dyDescent="0.25">
      <c r="A1680" t="s">
        <v>3327</v>
      </c>
      <c r="B1680" t="s">
        <v>1454</v>
      </c>
      <c r="C1680" t="s">
        <v>3328</v>
      </c>
      <c r="D1680" t="s">
        <v>106</v>
      </c>
    </row>
    <row r="1681" spans="1:4" x14ac:dyDescent="0.25">
      <c r="A1681" t="s">
        <v>3329</v>
      </c>
      <c r="B1681" t="s">
        <v>1454</v>
      </c>
      <c r="C1681" t="s">
        <v>3330</v>
      </c>
      <c r="D1681" t="s">
        <v>106</v>
      </c>
    </row>
    <row r="1682" spans="1:4" x14ac:dyDescent="0.25">
      <c r="A1682" t="s">
        <v>3331</v>
      </c>
      <c r="B1682" t="s">
        <v>1454</v>
      </c>
      <c r="C1682" t="s">
        <v>3332</v>
      </c>
      <c r="D1682" t="s">
        <v>106</v>
      </c>
    </row>
    <row r="1683" spans="1:4" x14ac:dyDescent="0.25">
      <c r="A1683" t="s">
        <v>3333</v>
      </c>
      <c r="B1683" t="s">
        <v>1454</v>
      </c>
      <c r="C1683" t="s">
        <v>3334</v>
      </c>
      <c r="D1683" t="s">
        <v>106</v>
      </c>
    </row>
    <row r="1684" spans="1:4" x14ac:dyDescent="0.25">
      <c r="A1684" t="s">
        <v>3335</v>
      </c>
      <c r="B1684" t="s">
        <v>1454</v>
      </c>
      <c r="C1684" t="s">
        <v>2769</v>
      </c>
      <c r="D1684" t="s">
        <v>16</v>
      </c>
    </row>
    <row r="1685" spans="1:4" x14ac:dyDescent="0.25">
      <c r="A1685" t="s">
        <v>3336</v>
      </c>
      <c r="B1685" t="s">
        <v>1454</v>
      </c>
      <c r="C1685" t="s">
        <v>3337</v>
      </c>
      <c r="D1685" t="s">
        <v>7</v>
      </c>
    </row>
    <row r="1686" spans="1:4" x14ac:dyDescent="0.25">
      <c r="A1686" t="s">
        <v>3338</v>
      </c>
      <c r="B1686" t="s">
        <v>1454</v>
      </c>
      <c r="C1686" t="s">
        <v>3339</v>
      </c>
      <c r="D1686" t="s">
        <v>7</v>
      </c>
    </row>
    <row r="1687" spans="1:4" x14ac:dyDescent="0.25">
      <c r="A1687" t="s">
        <v>3340</v>
      </c>
      <c r="B1687" t="s">
        <v>1454</v>
      </c>
      <c r="C1687" t="s">
        <v>3341</v>
      </c>
      <c r="D1687" t="s">
        <v>16</v>
      </c>
    </row>
    <row r="1688" spans="1:4" x14ac:dyDescent="0.25">
      <c r="A1688" t="s">
        <v>3342</v>
      </c>
      <c r="B1688" t="s">
        <v>1454</v>
      </c>
      <c r="C1688" t="s">
        <v>3343</v>
      </c>
      <c r="D1688" t="s">
        <v>1886</v>
      </c>
    </row>
    <row r="1689" spans="1:4" x14ac:dyDescent="0.25">
      <c r="A1689" t="s">
        <v>3344</v>
      </c>
      <c r="B1689" t="s">
        <v>1454</v>
      </c>
      <c r="C1689" t="s">
        <v>3345</v>
      </c>
      <c r="D1689" t="s">
        <v>106</v>
      </c>
    </row>
    <row r="1690" spans="1:4" x14ac:dyDescent="0.25">
      <c r="A1690" t="s">
        <v>3346</v>
      </c>
      <c r="B1690" t="s">
        <v>1454</v>
      </c>
      <c r="C1690" t="s">
        <v>3347</v>
      </c>
      <c r="D1690" t="s">
        <v>106</v>
      </c>
    </row>
    <row r="1691" spans="1:4" x14ac:dyDescent="0.25">
      <c r="A1691" t="s">
        <v>3348</v>
      </c>
      <c r="B1691" t="s">
        <v>1454</v>
      </c>
      <c r="C1691" t="s">
        <v>3349</v>
      </c>
      <c r="D1691" t="s">
        <v>7</v>
      </c>
    </row>
    <row r="1692" spans="1:4" x14ac:dyDescent="0.25">
      <c r="A1692" t="s">
        <v>3350</v>
      </c>
      <c r="B1692" t="s">
        <v>1454</v>
      </c>
      <c r="C1692" t="s">
        <v>3351</v>
      </c>
      <c r="D1692" t="s">
        <v>106</v>
      </c>
    </row>
    <row r="1693" spans="1:4" x14ac:dyDescent="0.25">
      <c r="A1693" t="s">
        <v>3352</v>
      </c>
      <c r="B1693" t="s">
        <v>1454</v>
      </c>
      <c r="C1693" t="s">
        <v>3353</v>
      </c>
      <c r="D1693" t="s">
        <v>7</v>
      </c>
    </row>
    <row r="1694" spans="1:4" x14ac:dyDescent="0.25">
      <c r="A1694" t="s">
        <v>3354</v>
      </c>
      <c r="B1694" t="s">
        <v>1454</v>
      </c>
      <c r="C1694" t="s">
        <v>3355</v>
      </c>
      <c r="D1694" t="s">
        <v>7</v>
      </c>
    </row>
    <row r="1695" spans="1:4" x14ac:dyDescent="0.25">
      <c r="A1695" t="s">
        <v>3356</v>
      </c>
      <c r="B1695" t="s">
        <v>1454</v>
      </c>
      <c r="C1695" t="s">
        <v>3357</v>
      </c>
      <c r="D1695" t="s">
        <v>106</v>
      </c>
    </row>
    <row r="1696" spans="1:4" x14ac:dyDescent="0.25">
      <c r="A1696" t="s">
        <v>3358</v>
      </c>
      <c r="B1696" t="s">
        <v>1454</v>
      </c>
      <c r="C1696" t="s">
        <v>3359</v>
      </c>
      <c r="D1696" t="s">
        <v>1886</v>
      </c>
    </row>
    <row r="1697" spans="1:4" x14ac:dyDescent="0.25">
      <c r="A1697" t="s">
        <v>3360</v>
      </c>
      <c r="B1697" t="s">
        <v>1454</v>
      </c>
      <c r="C1697" t="s">
        <v>3361</v>
      </c>
      <c r="D1697" t="s">
        <v>7</v>
      </c>
    </row>
    <row r="1698" spans="1:4" x14ac:dyDescent="0.25">
      <c r="A1698" t="s">
        <v>3362</v>
      </c>
      <c r="B1698" t="s">
        <v>1454</v>
      </c>
      <c r="C1698" t="s">
        <v>3363</v>
      </c>
      <c r="D1698" t="s">
        <v>7</v>
      </c>
    </row>
    <row r="1699" spans="1:4" x14ac:dyDescent="0.25">
      <c r="A1699" t="s">
        <v>3364</v>
      </c>
      <c r="B1699" t="s">
        <v>1454</v>
      </c>
      <c r="C1699" t="s">
        <v>3365</v>
      </c>
      <c r="D1699" t="s">
        <v>7</v>
      </c>
    </row>
    <row r="1700" spans="1:4" x14ac:dyDescent="0.25">
      <c r="A1700" t="s">
        <v>3366</v>
      </c>
      <c r="B1700" t="s">
        <v>1454</v>
      </c>
      <c r="C1700" t="s">
        <v>3367</v>
      </c>
      <c r="D1700" t="s">
        <v>7</v>
      </c>
    </row>
    <row r="1701" spans="1:4" x14ac:dyDescent="0.25">
      <c r="A1701" t="s">
        <v>3368</v>
      </c>
      <c r="B1701" t="s">
        <v>1454</v>
      </c>
      <c r="C1701" t="s">
        <v>3369</v>
      </c>
      <c r="D1701" t="s">
        <v>16</v>
      </c>
    </row>
    <row r="1702" spans="1:4" x14ac:dyDescent="0.25">
      <c r="A1702" t="s">
        <v>3370</v>
      </c>
      <c r="B1702" t="s">
        <v>1454</v>
      </c>
      <c r="C1702" t="s">
        <v>3371</v>
      </c>
      <c r="D1702" t="s">
        <v>106</v>
      </c>
    </row>
    <row r="1703" spans="1:4" x14ac:dyDescent="0.25">
      <c r="A1703" t="s">
        <v>3372</v>
      </c>
      <c r="B1703" t="s">
        <v>1454</v>
      </c>
      <c r="C1703" t="s">
        <v>3373</v>
      </c>
      <c r="D1703" t="s">
        <v>8</v>
      </c>
    </row>
    <row r="1704" spans="1:4" x14ac:dyDescent="0.25">
      <c r="A1704" t="s">
        <v>3374</v>
      </c>
      <c r="B1704" t="s">
        <v>1454</v>
      </c>
      <c r="C1704" t="s">
        <v>3375</v>
      </c>
      <c r="D1704" t="s">
        <v>106</v>
      </c>
    </row>
    <row r="1705" spans="1:4" x14ac:dyDescent="0.25">
      <c r="A1705" t="s">
        <v>3376</v>
      </c>
      <c r="B1705" t="s">
        <v>1454</v>
      </c>
      <c r="C1705" t="s">
        <v>3377</v>
      </c>
      <c r="D1705" t="s">
        <v>106</v>
      </c>
    </row>
    <row r="1706" spans="1:4" x14ac:dyDescent="0.25">
      <c r="A1706" t="s">
        <v>3378</v>
      </c>
      <c r="B1706" t="s">
        <v>1454</v>
      </c>
      <c r="C1706" t="s">
        <v>2499</v>
      </c>
      <c r="D1706" t="s">
        <v>106</v>
      </c>
    </row>
    <row r="1707" spans="1:4" x14ac:dyDescent="0.25">
      <c r="A1707" t="s">
        <v>3379</v>
      </c>
      <c r="B1707" t="s">
        <v>1454</v>
      </c>
      <c r="C1707" t="s">
        <v>3380</v>
      </c>
      <c r="D1707" t="s">
        <v>8</v>
      </c>
    </row>
    <row r="1708" spans="1:4" x14ac:dyDescent="0.25">
      <c r="A1708" t="s">
        <v>3381</v>
      </c>
      <c r="B1708" t="s">
        <v>1454</v>
      </c>
      <c r="C1708" t="s">
        <v>3382</v>
      </c>
      <c r="D1708" t="s">
        <v>16</v>
      </c>
    </row>
    <row r="1709" spans="1:4" x14ac:dyDescent="0.25">
      <c r="A1709" t="s">
        <v>3383</v>
      </c>
      <c r="B1709" t="s">
        <v>1454</v>
      </c>
      <c r="C1709" t="s">
        <v>3384</v>
      </c>
      <c r="D1709" t="s">
        <v>16</v>
      </c>
    </row>
    <row r="1710" spans="1:4" x14ac:dyDescent="0.25">
      <c r="A1710" t="s">
        <v>3385</v>
      </c>
      <c r="B1710" t="s">
        <v>1454</v>
      </c>
      <c r="C1710" t="s">
        <v>3386</v>
      </c>
      <c r="D1710" t="s">
        <v>8</v>
      </c>
    </row>
    <row r="1711" spans="1:4" x14ac:dyDescent="0.25">
      <c r="A1711" t="s">
        <v>3387</v>
      </c>
      <c r="B1711" t="s">
        <v>1454</v>
      </c>
      <c r="C1711" t="s">
        <v>3388</v>
      </c>
      <c r="D1711" t="s">
        <v>8</v>
      </c>
    </row>
    <row r="1712" spans="1:4" x14ac:dyDescent="0.25">
      <c r="A1712" t="s">
        <v>3389</v>
      </c>
      <c r="B1712" t="s">
        <v>1454</v>
      </c>
      <c r="C1712" t="s">
        <v>3390</v>
      </c>
      <c r="D1712" t="s">
        <v>16</v>
      </c>
    </row>
    <row r="1713" spans="1:4" x14ac:dyDescent="0.25">
      <c r="A1713" t="s">
        <v>3391</v>
      </c>
      <c r="B1713" t="s">
        <v>1454</v>
      </c>
      <c r="C1713" t="s">
        <v>3392</v>
      </c>
      <c r="D1713" t="s">
        <v>7</v>
      </c>
    </row>
    <row r="1714" spans="1:4" x14ac:dyDescent="0.25">
      <c r="A1714" t="s">
        <v>3393</v>
      </c>
      <c r="B1714" t="s">
        <v>1454</v>
      </c>
      <c r="C1714" t="s">
        <v>3394</v>
      </c>
      <c r="D1714" t="s">
        <v>7</v>
      </c>
    </row>
    <row r="1715" spans="1:4" x14ac:dyDescent="0.25">
      <c r="A1715" t="s">
        <v>3395</v>
      </c>
      <c r="B1715" t="s">
        <v>1454</v>
      </c>
      <c r="C1715" t="s">
        <v>3396</v>
      </c>
      <c r="D1715" t="s">
        <v>7</v>
      </c>
    </row>
    <row r="1716" spans="1:4" x14ac:dyDescent="0.25">
      <c r="A1716" t="s">
        <v>3397</v>
      </c>
      <c r="B1716" t="s">
        <v>1454</v>
      </c>
      <c r="C1716" t="s">
        <v>3398</v>
      </c>
      <c r="D1716" t="s">
        <v>7</v>
      </c>
    </row>
    <row r="1717" spans="1:4" x14ac:dyDescent="0.25">
      <c r="A1717" t="s">
        <v>3399</v>
      </c>
      <c r="B1717" t="s">
        <v>1454</v>
      </c>
      <c r="C1717" t="s">
        <v>3400</v>
      </c>
      <c r="D1717" t="s">
        <v>1886</v>
      </c>
    </row>
    <row r="1718" spans="1:4" x14ac:dyDescent="0.25">
      <c r="A1718" t="s">
        <v>3401</v>
      </c>
      <c r="B1718" t="s">
        <v>1454</v>
      </c>
      <c r="C1718" t="s">
        <v>3402</v>
      </c>
      <c r="D1718" t="s">
        <v>16</v>
      </c>
    </row>
    <row r="1719" spans="1:4" x14ac:dyDescent="0.25">
      <c r="A1719" t="s">
        <v>3403</v>
      </c>
      <c r="B1719" t="s">
        <v>1454</v>
      </c>
      <c r="C1719" t="s">
        <v>3404</v>
      </c>
      <c r="D1719" t="s">
        <v>1886</v>
      </c>
    </row>
    <row r="1720" spans="1:4" x14ac:dyDescent="0.25">
      <c r="A1720" t="s">
        <v>3405</v>
      </c>
      <c r="B1720" t="s">
        <v>1454</v>
      </c>
      <c r="C1720" t="s">
        <v>3406</v>
      </c>
      <c r="D1720" t="s">
        <v>106</v>
      </c>
    </row>
    <row r="1721" spans="1:4" x14ac:dyDescent="0.25">
      <c r="A1721" t="s">
        <v>3407</v>
      </c>
      <c r="B1721" t="s">
        <v>1454</v>
      </c>
      <c r="C1721" t="s">
        <v>3408</v>
      </c>
      <c r="D1721" t="s">
        <v>16</v>
      </c>
    </row>
    <row r="1722" spans="1:4" x14ac:dyDescent="0.25">
      <c r="A1722" t="s">
        <v>3409</v>
      </c>
      <c r="B1722" t="s">
        <v>1454</v>
      </c>
      <c r="C1722" t="s">
        <v>3410</v>
      </c>
      <c r="D1722" t="s">
        <v>1886</v>
      </c>
    </row>
    <row r="1723" spans="1:4" x14ac:dyDescent="0.25">
      <c r="A1723" t="s">
        <v>3411</v>
      </c>
      <c r="B1723" t="s">
        <v>1454</v>
      </c>
      <c r="C1723" t="s">
        <v>3412</v>
      </c>
      <c r="D1723" t="s">
        <v>106</v>
      </c>
    </row>
    <row r="1724" spans="1:4" x14ac:dyDescent="0.25">
      <c r="A1724" t="s">
        <v>3413</v>
      </c>
      <c r="B1724" t="s">
        <v>1454</v>
      </c>
      <c r="C1724" t="s">
        <v>3414</v>
      </c>
      <c r="D1724" t="s">
        <v>16</v>
      </c>
    </row>
    <row r="1725" spans="1:4" x14ac:dyDescent="0.25">
      <c r="A1725" t="s">
        <v>3415</v>
      </c>
      <c r="B1725" t="s">
        <v>1454</v>
      </c>
      <c r="C1725" t="s">
        <v>3416</v>
      </c>
      <c r="D1725" t="s">
        <v>1886</v>
      </c>
    </row>
    <row r="1726" spans="1:4" x14ac:dyDescent="0.25">
      <c r="A1726" t="s">
        <v>3417</v>
      </c>
      <c r="B1726" t="s">
        <v>1454</v>
      </c>
      <c r="C1726" t="s">
        <v>3418</v>
      </c>
      <c r="D1726" t="s">
        <v>106</v>
      </c>
    </row>
    <row r="1727" spans="1:4" x14ac:dyDescent="0.25">
      <c r="A1727" t="s">
        <v>3419</v>
      </c>
      <c r="B1727" t="s">
        <v>1454</v>
      </c>
      <c r="C1727" t="s">
        <v>3420</v>
      </c>
      <c r="D1727" t="s">
        <v>1886</v>
      </c>
    </row>
    <row r="1728" spans="1:4" x14ac:dyDescent="0.25">
      <c r="A1728" t="s">
        <v>3421</v>
      </c>
      <c r="B1728" t="s">
        <v>1454</v>
      </c>
      <c r="C1728" t="s">
        <v>3422</v>
      </c>
      <c r="D1728" t="s">
        <v>16</v>
      </c>
    </row>
    <row r="1729" spans="1:4" x14ac:dyDescent="0.25">
      <c r="A1729" t="s">
        <v>3423</v>
      </c>
      <c r="B1729" t="s">
        <v>1454</v>
      </c>
      <c r="C1729" t="s">
        <v>3424</v>
      </c>
      <c r="D1729" t="s">
        <v>1886</v>
      </c>
    </row>
    <row r="1730" spans="1:4" x14ac:dyDescent="0.25">
      <c r="A1730" t="s">
        <v>3425</v>
      </c>
      <c r="B1730" t="s">
        <v>1454</v>
      </c>
      <c r="C1730" t="s">
        <v>3426</v>
      </c>
      <c r="D1730" t="s">
        <v>106</v>
      </c>
    </row>
    <row r="1731" spans="1:4" x14ac:dyDescent="0.25">
      <c r="A1731" t="s">
        <v>3427</v>
      </c>
      <c r="B1731" t="s">
        <v>1454</v>
      </c>
      <c r="C1731" t="s">
        <v>3428</v>
      </c>
      <c r="D1731" t="s">
        <v>1886</v>
      </c>
    </row>
    <row r="1732" spans="1:4" x14ac:dyDescent="0.25">
      <c r="A1732" t="s">
        <v>3429</v>
      </c>
      <c r="B1732" t="s">
        <v>1454</v>
      </c>
      <c r="C1732" t="s">
        <v>3430</v>
      </c>
      <c r="D1732" t="s">
        <v>106</v>
      </c>
    </row>
    <row r="1733" spans="1:4" x14ac:dyDescent="0.25">
      <c r="A1733" t="s">
        <v>3431</v>
      </c>
      <c r="B1733" t="s">
        <v>1454</v>
      </c>
      <c r="C1733" t="s">
        <v>3432</v>
      </c>
      <c r="D1733" t="s">
        <v>16</v>
      </c>
    </row>
    <row r="1734" spans="1:4" x14ac:dyDescent="0.25">
      <c r="A1734" t="s">
        <v>3433</v>
      </c>
      <c r="B1734" t="s">
        <v>1454</v>
      </c>
      <c r="C1734" t="s">
        <v>3434</v>
      </c>
      <c r="D1734" t="s">
        <v>16</v>
      </c>
    </row>
    <row r="1735" spans="1:4" x14ac:dyDescent="0.25">
      <c r="A1735" t="s">
        <v>3435</v>
      </c>
      <c r="B1735" t="s">
        <v>1454</v>
      </c>
      <c r="C1735" t="s">
        <v>3436</v>
      </c>
      <c r="D1735" t="s">
        <v>16</v>
      </c>
    </row>
    <row r="1736" spans="1:4" x14ac:dyDescent="0.25">
      <c r="A1736" t="s">
        <v>3437</v>
      </c>
      <c r="B1736" t="s">
        <v>1454</v>
      </c>
      <c r="C1736" t="s">
        <v>3438</v>
      </c>
      <c r="D1736" t="s">
        <v>16</v>
      </c>
    </row>
    <row r="1737" spans="1:4" x14ac:dyDescent="0.25">
      <c r="A1737" t="s">
        <v>3439</v>
      </c>
      <c r="B1737" t="s">
        <v>1454</v>
      </c>
      <c r="C1737" t="s">
        <v>3440</v>
      </c>
      <c r="D1737" t="s">
        <v>16</v>
      </c>
    </row>
    <row r="1738" spans="1:4" x14ac:dyDescent="0.25">
      <c r="A1738" t="s">
        <v>3441</v>
      </c>
      <c r="B1738" t="s">
        <v>1454</v>
      </c>
      <c r="C1738" t="s">
        <v>3442</v>
      </c>
      <c r="D1738" t="s">
        <v>16</v>
      </c>
    </row>
    <row r="1739" spans="1:4" x14ac:dyDescent="0.25">
      <c r="A1739" t="s">
        <v>3443</v>
      </c>
      <c r="B1739" t="s">
        <v>1454</v>
      </c>
      <c r="C1739" t="s">
        <v>3444</v>
      </c>
      <c r="D1739" t="s">
        <v>16</v>
      </c>
    </row>
    <row r="1740" spans="1:4" x14ac:dyDescent="0.25">
      <c r="A1740" t="s">
        <v>3445</v>
      </c>
      <c r="B1740" t="s">
        <v>1454</v>
      </c>
      <c r="C1740" t="s">
        <v>3446</v>
      </c>
      <c r="D1740" t="s">
        <v>1886</v>
      </c>
    </row>
    <row r="1741" spans="1:4" x14ac:dyDescent="0.25">
      <c r="A1741" t="s">
        <v>3447</v>
      </c>
      <c r="B1741" t="s">
        <v>1454</v>
      </c>
      <c r="C1741" t="s">
        <v>3448</v>
      </c>
      <c r="D1741" t="s">
        <v>1886</v>
      </c>
    </row>
    <row r="1742" spans="1:4" x14ac:dyDescent="0.25">
      <c r="A1742" t="s">
        <v>3449</v>
      </c>
      <c r="B1742" t="s">
        <v>1454</v>
      </c>
      <c r="C1742" t="s">
        <v>3450</v>
      </c>
      <c r="D1742" t="s">
        <v>1886</v>
      </c>
    </row>
    <row r="1743" spans="1:4" x14ac:dyDescent="0.25">
      <c r="A1743" t="s">
        <v>3451</v>
      </c>
      <c r="B1743" t="s">
        <v>1454</v>
      </c>
      <c r="C1743" t="s">
        <v>3452</v>
      </c>
      <c r="D1743" t="s">
        <v>16</v>
      </c>
    </row>
    <row r="1744" spans="1:4" x14ac:dyDescent="0.25">
      <c r="A1744" t="s">
        <v>3453</v>
      </c>
      <c r="B1744" t="s">
        <v>1454</v>
      </c>
      <c r="C1744" t="s">
        <v>3454</v>
      </c>
      <c r="D1744" t="s">
        <v>1886</v>
      </c>
    </row>
    <row r="1745" spans="1:4" x14ac:dyDescent="0.25">
      <c r="A1745" t="s">
        <v>3455</v>
      </c>
      <c r="B1745" t="s">
        <v>1454</v>
      </c>
      <c r="C1745" t="s">
        <v>3456</v>
      </c>
      <c r="D1745" t="s">
        <v>16</v>
      </c>
    </row>
    <row r="1746" spans="1:4" x14ac:dyDescent="0.25">
      <c r="A1746" t="s">
        <v>3457</v>
      </c>
      <c r="B1746" t="s">
        <v>1454</v>
      </c>
      <c r="C1746" t="s">
        <v>3458</v>
      </c>
      <c r="D1746" t="s">
        <v>1886</v>
      </c>
    </row>
    <row r="1747" spans="1:4" x14ac:dyDescent="0.25">
      <c r="A1747" t="s">
        <v>3459</v>
      </c>
      <c r="B1747" t="s">
        <v>1454</v>
      </c>
      <c r="C1747" t="s">
        <v>3460</v>
      </c>
      <c r="D1747" t="s">
        <v>16</v>
      </c>
    </row>
    <row r="1748" spans="1:4" x14ac:dyDescent="0.25">
      <c r="A1748" t="s">
        <v>3461</v>
      </c>
      <c r="B1748" t="s">
        <v>1454</v>
      </c>
      <c r="C1748" t="s">
        <v>3462</v>
      </c>
      <c r="D1748" t="s">
        <v>1886</v>
      </c>
    </row>
    <row r="1749" spans="1:4" x14ac:dyDescent="0.25">
      <c r="A1749" t="s">
        <v>3463</v>
      </c>
      <c r="B1749" t="s">
        <v>1454</v>
      </c>
      <c r="C1749" t="s">
        <v>3464</v>
      </c>
      <c r="D1749" t="s">
        <v>16</v>
      </c>
    </row>
    <row r="1750" spans="1:4" x14ac:dyDescent="0.25">
      <c r="A1750" t="s">
        <v>3465</v>
      </c>
      <c r="B1750" t="s">
        <v>1454</v>
      </c>
      <c r="C1750" t="s">
        <v>3466</v>
      </c>
      <c r="D1750" t="s">
        <v>1886</v>
      </c>
    </row>
    <row r="1751" spans="1:4" x14ac:dyDescent="0.25">
      <c r="A1751" t="s">
        <v>3467</v>
      </c>
      <c r="B1751" t="s">
        <v>1454</v>
      </c>
      <c r="C1751" t="s">
        <v>3468</v>
      </c>
      <c r="D1751" t="s">
        <v>16</v>
      </c>
    </row>
    <row r="1752" spans="1:4" x14ac:dyDescent="0.25">
      <c r="A1752" t="s">
        <v>3469</v>
      </c>
      <c r="B1752" t="s">
        <v>1454</v>
      </c>
      <c r="C1752" t="s">
        <v>3470</v>
      </c>
      <c r="D1752" t="s">
        <v>1886</v>
      </c>
    </row>
    <row r="1753" spans="1:4" x14ac:dyDescent="0.25">
      <c r="A1753" t="s">
        <v>3471</v>
      </c>
      <c r="B1753" t="s">
        <v>1454</v>
      </c>
      <c r="C1753" t="s">
        <v>3472</v>
      </c>
      <c r="D1753" t="s">
        <v>16</v>
      </c>
    </row>
    <row r="1754" spans="1:4" x14ac:dyDescent="0.25">
      <c r="A1754" t="s">
        <v>3473</v>
      </c>
      <c r="B1754" t="s">
        <v>1454</v>
      </c>
      <c r="C1754" t="s">
        <v>3474</v>
      </c>
      <c r="D1754" t="s">
        <v>1886</v>
      </c>
    </row>
    <row r="1755" spans="1:4" x14ac:dyDescent="0.25">
      <c r="A1755" t="s">
        <v>3475</v>
      </c>
      <c r="B1755" t="s">
        <v>1454</v>
      </c>
      <c r="C1755" t="s">
        <v>3476</v>
      </c>
      <c r="D1755" t="s">
        <v>16</v>
      </c>
    </row>
    <row r="1756" spans="1:4" x14ac:dyDescent="0.25">
      <c r="A1756" t="s">
        <v>3477</v>
      </c>
      <c r="B1756" t="s">
        <v>1454</v>
      </c>
      <c r="C1756" t="s">
        <v>3478</v>
      </c>
      <c r="D1756" t="s">
        <v>106</v>
      </c>
    </row>
    <row r="1757" spans="1:4" x14ac:dyDescent="0.25">
      <c r="A1757" t="s">
        <v>3479</v>
      </c>
      <c r="B1757" t="s">
        <v>1454</v>
      </c>
      <c r="C1757" t="s">
        <v>3480</v>
      </c>
      <c r="D1757" t="s">
        <v>1886</v>
      </c>
    </row>
    <row r="1758" spans="1:4" x14ac:dyDescent="0.25">
      <c r="A1758" t="s">
        <v>3481</v>
      </c>
      <c r="B1758" t="s">
        <v>1454</v>
      </c>
      <c r="C1758" t="s">
        <v>3482</v>
      </c>
      <c r="D1758" t="s">
        <v>16</v>
      </c>
    </row>
    <row r="1759" spans="1:4" x14ac:dyDescent="0.25">
      <c r="A1759" t="s">
        <v>3483</v>
      </c>
      <c r="B1759" t="s">
        <v>1454</v>
      </c>
      <c r="C1759" t="s">
        <v>3484</v>
      </c>
      <c r="D1759" t="s">
        <v>16</v>
      </c>
    </row>
    <row r="1760" spans="1:4" x14ac:dyDescent="0.25">
      <c r="A1760" t="s">
        <v>3485</v>
      </c>
      <c r="B1760" t="s">
        <v>1454</v>
      </c>
      <c r="C1760" t="s">
        <v>3486</v>
      </c>
      <c r="D1760" t="s">
        <v>16</v>
      </c>
    </row>
    <row r="1761" spans="1:4" x14ac:dyDescent="0.25">
      <c r="A1761" t="s">
        <v>3487</v>
      </c>
      <c r="B1761" t="s">
        <v>1454</v>
      </c>
      <c r="C1761" t="s">
        <v>3488</v>
      </c>
      <c r="D1761" t="s">
        <v>16</v>
      </c>
    </row>
    <row r="1762" spans="1:4" x14ac:dyDescent="0.25">
      <c r="A1762" t="s">
        <v>3489</v>
      </c>
      <c r="B1762" t="s">
        <v>1454</v>
      </c>
      <c r="C1762" t="s">
        <v>3490</v>
      </c>
      <c r="D1762" t="s">
        <v>16</v>
      </c>
    </row>
    <row r="1763" spans="1:4" x14ac:dyDescent="0.25">
      <c r="A1763" t="s">
        <v>3491</v>
      </c>
      <c r="B1763" t="s">
        <v>1454</v>
      </c>
      <c r="C1763" t="s">
        <v>3492</v>
      </c>
      <c r="D1763" t="s">
        <v>16</v>
      </c>
    </row>
    <row r="1764" spans="1:4" x14ac:dyDescent="0.25">
      <c r="A1764" t="s">
        <v>3493</v>
      </c>
      <c r="B1764" t="s">
        <v>1454</v>
      </c>
      <c r="C1764" t="s">
        <v>3494</v>
      </c>
      <c r="D1764" t="s">
        <v>16</v>
      </c>
    </row>
    <row r="1765" spans="1:4" x14ac:dyDescent="0.25">
      <c r="A1765" t="s">
        <v>3495</v>
      </c>
      <c r="B1765" t="s">
        <v>1454</v>
      </c>
      <c r="C1765" t="s">
        <v>3496</v>
      </c>
      <c r="D1765" t="s">
        <v>16</v>
      </c>
    </row>
    <row r="1766" spans="1:4" x14ac:dyDescent="0.25">
      <c r="A1766" t="s">
        <v>3497</v>
      </c>
      <c r="B1766" t="s">
        <v>1454</v>
      </c>
      <c r="C1766" t="s">
        <v>3498</v>
      </c>
      <c r="D1766" t="s">
        <v>1886</v>
      </c>
    </row>
    <row r="1767" spans="1:4" x14ac:dyDescent="0.25">
      <c r="A1767" t="s">
        <v>3499</v>
      </c>
      <c r="B1767" t="s">
        <v>1454</v>
      </c>
      <c r="C1767" t="s">
        <v>3500</v>
      </c>
      <c r="D1767" t="s">
        <v>106</v>
      </c>
    </row>
    <row r="1768" spans="1:4" x14ac:dyDescent="0.25">
      <c r="A1768" t="s">
        <v>3501</v>
      </c>
      <c r="B1768" t="s">
        <v>1454</v>
      </c>
      <c r="C1768" t="s">
        <v>3502</v>
      </c>
      <c r="D1768" t="s">
        <v>1886</v>
      </c>
    </row>
    <row r="1769" spans="1:4" x14ac:dyDescent="0.25">
      <c r="A1769" t="s">
        <v>3503</v>
      </c>
      <c r="B1769" t="s">
        <v>1454</v>
      </c>
      <c r="C1769" t="s">
        <v>3504</v>
      </c>
      <c r="D1769" t="s">
        <v>106</v>
      </c>
    </row>
    <row r="1770" spans="1:4" x14ac:dyDescent="0.25">
      <c r="A1770" t="s">
        <v>3505</v>
      </c>
      <c r="B1770" t="s">
        <v>1454</v>
      </c>
      <c r="C1770" t="s">
        <v>3506</v>
      </c>
      <c r="D1770" t="s">
        <v>1886</v>
      </c>
    </row>
    <row r="1771" spans="1:4" x14ac:dyDescent="0.25">
      <c r="A1771" t="s">
        <v>3507</v>
      </c>
      <c r="B1771" t="s">
        <v>1454</v>
      </c>
      <c r="C1771" t="s">
        <v>3508</v>
      </c>
      <c r="D1771" t="s">
        <v>106</v>
      </c>
    </row>
    <row r="1772" spans="1:4" x14ac:dyDescent="0.25">
      <c r="A1772" t="s">
        <v>3509</v>
      </c>
      <c r="B1772" t="s">
        <v>1454</v>
      </c>
      <c r="C1772" t="s">
        <v>3510</v>
      </c>
      <c r="D1772" t="s">
        <v>1886</v>
      </c>
    </row>
    <row r="1773" spans="1:4" x14ac:dyDescent="0.25">
      <c r="A1773" t="s">
        <v>3511</v>
      </c>
      <c r="B1773" t="s">
        <v>1454</v>
      </c>
      <c r="C1773" t="s">
        <v>3512</v>
      </c>
      <c r="D1773" t="s">
        <v>106</v>
      </c>
    </row>
    <row r="1774" spans="1:4" x14ac:dyDescent="0.25">
      <c r="A1774" t="s">
        <v>3513</v>
      </c>
      <c r="B1774" t="s">
        <v>1454</v>
      </c>
      <c r="C1774" t="s">
        <v>3514</v>
      </c>
      <c r="D1774" t="s">
        <v>1886</v>
      </c>
    </row>
    <row r="1775" spans="1:4" x14ac:dyDescent="0.25">
      <c r="A1775" t="s">
        <v>3515</v>
      </c>
      <c r="B1775" t="s">
        <v>1454</v>
      </c>
      <c r="C1775" t="s">
        <v>3516</v>
      </c>
      <c r="D1775" t="s">
        <v>106</v>
      </c>
    </row>
    <row r="1776" spans="1:4" x14ac:dyDescent="0.25">
      <c r="A1776" t="s">
        <v>3517</v>
      </c>
      <c r="B1776" t="s">
        <v>1454</v>
      </c>
      <c r="C1776" t="s">
        <v>3518</v>
      </c>
      <c r="D1776" t="s">
        <v>16</v>
      </c>
    </row>
    <row r="1777" spans="1:4" x14ac:dyDescent="0.25">
      <c r="A1777" t="s">
        <v>3519</v>
      </c>
      <c r="B1777" t="s">
        <v>1454</v>
      </c>
      <c r="C1777" t="s">
        <v>3520</v>
      </c>
      <c r="D1777" t="s">
        <v>7</v>
      </c>
    </row>
    <row r="1778" spans="1:4" x14ac:dyDescent="0.25">
      <c r="A1778" t="s">
        <v>3521</v>
      </c>
      <c r="B1778" t="s">
        <v>1454</v>
      </c>
      <c r="C1778" t="s">
        <v>3522</v>
      </c>
      <c r="D1778" t="s">
        <v>16</v>
      </c>
    </row>
    <row r="1779" spans="1:4" x14ac:dyDescent="0.25">
      <c r="A1779" t="s">
        <v>3523</v>
      </c>
      <c r="B1779" t="s">
        <v>1454</v>
      </c>
      <c r="C1779" t="s">
        <v>3524</v>
      </c>
      <c r="D1779" t="s">
        <v>16</v>
      </c>
    </row>
    <row r="1780" spans="1:4" x14ac:dyDescent="0.25">
      <c r="A1780" t="s">
        <v>3525</v>
      </c>
      <c r="B1780" t="s">
        <v>1454</v>
      </c>
      <c r="C1780" t="s">
        <v>3526</v>
      </c>
      <c r="D1780" t="s">
        <v>16</v>
      </c>
    </row>
    <row r="1781" spans="1:4" x14ac:dyDescent="0.25">
      <c r="A1781" t="s">
        <v>3527</v>
      </c>
      <c r="B1781" t="s">
        <v>1454</v>
      </c>
      <c r="C1781" t="s">
        <v>3528</v>
      </c>
      <c r="D1781" t="s">
        <v>1886</v>
      </c>
    </row>
    <row r="1782" spans="1:4" x14ac:dyDescent="0.25">
      <c r="A1782" t="s">
        <v>3529</v>
      </c>
      <c r="B1782" t="s">
        <v>1454</v>
      </c>
      <c r="C1782" t="s">
        <v>3530</v>
      </c>
      <c r="D1782" t="s">
        <v>16</v>
      </c>
    </row>
    <row r="1783" spans="1:4" x14ac:dyDescent="0.25">
      <c r="A1783" t="s">
        <v>3531</v>
      </c>
      <c r="B1783" t="s">
        <v>1454</v>
      </c>
      <c r="C1783" t="s">
        <v>3532</v>
      </c>
      <c r="D1783" t="s">
        <v>1886</v>
      </c>
    </row>
    <row r="1784" spans="1:4" x14ac:dyDescent="0.25">
      <c r="A1784" t="s">
        <v>3533</v>
      </c>
      <c r="B1784" t="s">
        <v>1454</v>
      </c>
      <c r="C1784" t="s">
        <v>3534</v>
      </c>
      <c r="D1784" t="s">
        <v>1886</v>
      </c>
    </row>
    <row r="1785" spans="1:4" x14ac:dyDescent="0.25">
      <c r="A1785" t="s">
        <v>3535</v>
      </c>
      <c r="B1785" t="s">
        <v>1454</v>
      </c>
      <c r="C1785" t="s">
        <v>3536</v>
      </c>
      <c r="D1785" t="s">
        <v>106</v>
      </c>
    </row>
    <row r="1786" spans="1:4" x14ac:dyDescent="0.25">
      <c r="A1786" t="s">
        <v>3537</v>
      </c>
      <c r="B1786" t="s">
        <v>1454</v>
      </c>
      <c r="C1786" t="s">
        <v>3538</v>
      </c>
      <c r="D1786" t="s">
        <v>7</v>
      </c>
    </row>
    <row r="1787" spans="1:4" x14ac:dyDescent="0.25">
      <c r="A1787" t="s">
        <v>3539</v>
      </c>
      <c r="B1787" t="s">
        <v>1454</v>
      </c>
      <c r="C1787" t="s">
        <v>3540</v>
      </c>
      <c r="D1787" t="s">
        <v>1886</v>
      </c>
    </row>
    <row r="1788" spans="1:4" x14ac:dyDescent="0.25">
      <c r="A1788" t="s">
        <v>3541</v>
      </c>
      <c r="B1788" t="s">
        <v>1454</v>
      </c>
      <c r="C1788" t="s">
        <v>3542</v>
      </c>
      <c r="D1788" t="s">
        <v>106</v>
      </c>
    </row>
    <row r="1789" spans="1:4" x14ac:dyDescent="0.25">
      <c r="A1789" t="s">
        <v>3543</v>
      </c>
      <c r="B1789" t="s">
        <v>1454</v>
      </c>
      <c r="C1789" t="s">
        <v>3544</v>
      </c>
      <c r="D1789" t="s">
        <v>7</v>
      </c>
    </row>
    <row r="1790" spans="1:4" x14ac:dyDescent="0.25">
      <c r="A1790" t="s">
        <v>3545</v>
      </c>
      <c r="B1790" t="s">
        <v>1454</v>
      </c>
      <c r="C1790" t="s">
        <v>3546</v>
      </c>
      <c r="D1790" t="s">
        <v>1886</v>
      </c>
    </row>
    <row r="1791" spans="1:4" x14ac:dyDescent="0.25">
      <c r="A1791" t="s">
        <v>3547</v>
      </c>
      <c r="B1791" t="s">
        <v>1454</v>
      </c>
      <c r="C1791" t="s">
        <v>3548</v>
      </c>
      <c r="D1791" t="s">
        <v>106</v>
      </c>
    </row>
    <row r="1792" spans="1:4" x14ac:dyDescent="0.25">
      <c r="A1792" t="s">
        <v>3549</v>
      </c>
      <c r="B1792" t="s">
        <v>1454</v>
      </c>
      <c r="C1792" t="s">
        <v>3550</v>
      </c>
      <c r="D1792" t="s">
        <v>7</v>
      </c>
    </row>
    <row r="1793" spans="1:4" x14ac:dyDescent="0.25">
      <c r="A1793" t="s">
        <v>3551</v>
      </c>
      <c r="B1793" t="s">
        <v>1454</v>
      </c>
      <c r="C1793" t="s">
        <v>3552</v>
      </c>
      <c r="D1793" t="s">
        <v>16</v>
      </c>
    </row>
    <row r="1794" spans="1:4" x14ac:dyDescent="0.25">
      <c r="A1794" t="s">
        <v>3553</v>
      </c>
      <c r="B1794" t="s">
        <v>1454</v>
      </c>
      <c r="C1794" t="s">
        <v>3554</v>
      </c>
      <c r="D1794" t="s">
        <v>8</v>
      </c>
    </row>
    <row r="1795" spans="1:4" x14ac:dyDescent="0.25">
      <c r="A1795" t="s">
        <v>3555</v>
      </c>
      <c r="B1795" t="s">
        <v>1454</v>
      </c>
      <c r="C1795" t="s">
        <v>3556</v>
      </c>
      <c r="D1795" t="s">
        <v>1886</v>
      </c>
    </row>
    <row r="1796" spans="1:4" x14ac:dyDescent="0.25">
      <c r="A1796" t="s">
        <v>3557</v>
      </c>
      <c r="B1796" t="s">
        <v>1454</v>
      </c>
      <c r="C1796" t="s">
        <v>3558</v>
      </c>
    </row>
    <row r="1797" spans="1:4" x14ac:dyDescent="0.25">
      <c r="A1797" t="s">
        <v>3559</v>
      </c>
      <c r="B1797" t="s">
        <v>1454</v>
      </c>
      <c r="C1797" t="s">
        <v>3560</v>
      </c>
      <c r="D1797" t="s">
        <v>16</v>
      </c>
    </row>
    <row r="1798" spans="1:4" x14ac:dyDescent="0.25">
      <c r="A1798" t="s">
        <v>3561</v>
      </c>
      <c r="B1798" t="s">
        <v>1454</v>
      </c>
      <c r="C1798" t="s">
        <v>3562</v>
      </c>
      <c r="D1798" t="s">
        <v>16</v>
      </c>
    </row>
    <row r="1799" spans="1:4" x14ac:dyDescent="0.25">
      <c r="A1799" t="s">
        <v>3563</v>
      </c>
      <c r="B1799" t="s">
        <v>1454</v>
      </c>
      <c r="C1799" t="s">
        <v>3564</v>
      </c>
      <c r="D1799" t="s">
        <v>16</v>
      </c>
    </row>
    <row r="1800" spans="1:4" x14ac:dyDescent="0.25">
      <c r="A1800" t="s">
        <v>3565</v>
      </c>
      <c r="B1800" t="s">
        <v>1454</v>
      </c>
      <c r="C1800" t="s">
        <v>3566</v>
      </c>
      <c r="D1800" t="s">
        <v>7</v>
      </c>
    </row>
    <row r="1801" spans="1:4" x14ac:dyDescent="0.25">
      <c r="A1801" t="s">
        <v>3567</v>
      </c>
      <c r="B1801" t="s">
        <v>1454</v>
      </c>
      <c r="C1801" t="s">
        <v>3568</v>
      </c>
      <c r="D1801" t="s">
        <v>1886</v>
      </c>
    </row>
    <row r="1802" spans="1:4" x14ac:dyDescent="0.25">
      <c r="A1802" t="s">
        <v>3569</v>
      </c>
      <c r="B1802" t="s">
        <v>1454</v>
      </c>
      <c r="C1802" t="s">
        <v>3570</v>
      </c>
      <c r="D1802" t="s">
        <v>106</v>
      </c>
    </row>
    <row r="1803" spans="1:4" x14ac:dyDescent="0.25">
      <c r="A1803" t="s">
        <v>3571</v>
      </c>
      <c r="B1803" t="s">
        <v>1454</v>
      </c>
      <c r="C1803" t="s">
        <v>3572</v>
      </c>
      <c r="D1803" t="s">
        <v>1886</v>
      </c>
    </row>
    <row r="1804" spans="1:4" x14ac:dyDescent="0.25">
      <c r="A1804" t="s">
        <v>3573</v>
      </c>
      <c r="B1804" t="s">
        <v>1454</v>
      </c>
      <c r="C1804" t="s">
        <v>3574</v>
      </c>
      <c r="D1804" t="s">
        <v>106</v>
      </c>
    </row>
    <row r="1805" spans="1:4" x14ac:dyDescent="0.25">
      <c r="A1805" t="s">
        <v>3575</v>
      </c>
      <c r="B1805" t="s">
        <v>1454</v>
      </c>
      <c r="C1805" t="s">
        <v>3576</v>
      </c>
      <c r="D1805" t="s">
        <v>106</v>
      </c>
    </row>
    <row r="1806" spans="1:4" x14ac:dyDescent="0.25">
      <c r="A1806" t="s">
        <v>3577</v>
      </c>
      <c r="B1806" t="s">
        <v>1454</v>
      </c>
      <c r="C1806" t="s">
        <v>3578</v>
      </c>
      <c r="D1806" t="s">
        <v>1886</v>
      </c>
    </row>
    <row r="1807" spans="1:4" x14ac:dyDescent="0.25">
      <c r="A1807" t="s">
        <v>3579</v>
      </c>
      <c r="B1807" t="s">
        <v>1454</v>
      </c>
      <c r="C1807" t="s">
        <v>3580</v>
      </c>
      <c r="D1807" t="s">
        <v>106</v>
      </c>
    </row>
    <row r="1808" spans="1:4" x14ac:dyDescent="0.25">
      <c r="A1808" t="s">
        <v>3581</v>
      </c>
      <c r="B1808" t="s">
        <v>1454</v>
      </c>
      <c r="C1808" t="s">
        <v>3582</v>
      </c>
      <c r="D1808" t="s">
        <v>16</v>
      </c>
    </row>
    <row r="1809" spans="1:4" x14ac:dyDescent="0.25">
      <c r="A1809" t="s">
        <v>3583</v>
      </c>
      <c r="B1809" t="s">
        <v>1454</v>
      </c>
      <c r="C1809" t="s">
        <v>3584</v>
      </c>
      <c r="D1809" t="s">
        <v>16</v>
      </c>
    </row>
    <row r="1810" spans="1:4" x14ac:dyDescent="0.25">
      <c r="A1810" t="s">
        <v>3585</v>
      </c>
      <c r="B1810" t="s">
        <v>1454</v>
      </c>
      <c r="C1810" t="s">
        <v>3586</v>
      </c>
      <c r="D1810" t="s">
        <v>106</v>
      </c>
    </row>
    <row r="1811" spans="1:4" x14ac:dyDescent="0.25">
      <c r="A1811" t="s">
        <v>3587</v>
      </c>
      <c r="B1811" t="s">
        <v>1454</v>
      </c>
      <c r="C1811" t="s">
        <v>3588</v>
      </c>
      <c r="D1811" t="s">
        <v>7</v>
      </c>
    </row>
    <row r="1812" spans="1:4" x14ac:dyDescent="0.25">
      <c r="A1812" t="s">
        <v>3589</v>
      </c>
      <c r="B1812" t="s">
        <v>1454</v>
      </c>
      <c r="C1812" t="s">
        <v>3590</v>
      </c>
      <c r="D1812" t="s">
        <v>16</v>
      </c>
    </row>
    <row r="1813" spans="1:4" x14ac:dyDescent="0.25">
      <c r="A1813" t="s">
        <v>3591</v>
      </c>
      <c r="B1813" t="s">
        <v>1454</v>
      </c>
      <c r="C1813" t="s">
        <v>3592</v>
      </c>
      <c r="D1813" t="s">
        <v>16</v>
      </c>
    </row>
    <row r="1814" spans="1:4" x14ac:dyDescent="0.25">
      <c r="A1814" t="s">
        <v>3593</v>
      </c>
      <c r="B1814" t="s">
        <v>1454</v>
      </c>
      <c r="C1814" t="s">
        <v>3594</v>
      </c>
      <c r="D1814" t="s">
        <v>7</v>
      </c>
    </row>
    <row r="1815" spans="1:4" x14ac:dyDescent="0.25">
      <c r="A1815" t="s">
        <v>3595</v>
      </c>
      <c r="B1815" t="s">
        <v>1454</v>
      </c>
      <c r="C1815" t="s">
        <v>3596</v>
      </c>
      <c r="D1815" t="s">
        <v>1886</v>
      </c>
    </row>
    <row r="1816" spans="1:4" x14ac:dyDescent="0.25">
      <c r="A1816" t="s">
        <v>3597</v>
      </c>
      <c r="B1816" t="s">
        <v>1454</v>
      </c>
      <c r="C1816" t="s">
        <v>3598</v>
      </c>
      <c r="D1816" t="s">
        <v>106</v>
      </c>
    </row>
    <row r="1817" spans="1:4" x14ac:dyDescent="0.25">
      <c r="A1817" t="s">
        <v>3599</v>
      </c>
      <c r="B1817" t="s">
        <v>1454</v>
      </c>
      <c r="C1817" t="s">
        <v>3600</v>
      </c>
      <c r="D1817" t="s">
        <v>8</v>
      </c>
    </row>
    <row r="1818" spans="1:4" x14ac:dyDescent="0.25">
      <c r="A1818" t="s">
        <v>3601</v>
      </c>
      <c r="B1818" t="s">
        <v>1454</v>
      </c>
      <c r="C1818" t="s">
        <v>3602</v>
      </c>
      <c r="D1818" t="s">
        <v>1886</v>
      </c>
    </row>
    <row r="1819" spans="1:4" x14ac:dyDescent="0.25">
      <c r="A1819" t="s">
        <v>3603</v>
      </c>
      <c r="B1819" t="s">
        <v>1454</v>
      </c>
      <c r="C1819" t="s">
        <v>3604</v>
      </c>
      <c r="D1819" t="s">
        <v>106</v>
      </c>
    </row>
    <row r="1820" spans="1:4" x14ac:dyDescent="0.25">
      <c r="A1820" t="s">
        <v>3605</v>
      </c>
      <c r="B1820" t="s">
        <v>1454</v>
      </c>
      <c r="C1820" t="s">
        <v>3606</v>
      </c>
      <c r="D1820" t="s">
        <v>8</v>
      </c>
    </row>
    <row r="1821" spans="1:4" x14ac:dyDescent="0.25">
      <c r="A1821" t="s">
        <v>3607</v>
      </c>
      <c r="B1821" t="s">
        <v>1454</v>
      </c>
      <c r="C1821" t="s">
        <v>3608</v>
      </c>
      <c r="D1821" t="s">
        <v>1886</v>
      </c>
    </row>
    <row r="1822" spans="1:4" x14ac:dyDescent="0.25">
      <c r="A1822" t="s">
        <v>3609</v>
      </c>
      <c r="B1822" t="s">
        <v>1454</v>
      </c>
      <c r="C1822" t="s">
        <v>3610</v>
      </c>
      <c r="D1822" t="s">
        <v>106</v>
      </c>
    </row>
    <row r="1823" spans="1:4" x14ac:dyDescent="0.25">
      <c r="A1823" t="s">
        <v>3611</v>
      </c>
      <c r="B1823" t="s">
        <v>1454</v>
      </c>
      <c r="C1823" t="s">
        <v>3612</v>
      </c>
      <c r="D1823" t="s">
        <v>1886</v>
      </c>
    </row>
    <row r="1824" spans="1:4" x14ac:dyDescent="0.25">
      <c r="A1824" t="s">
        <v>3613</v>
      </c>
      <c r="B1824" t="s">
        <v>1454</v>
      </c>
      <c r="C1824" t="s">
        <v>3614</v>
      </c>
      <c r="D1824" t="s">
        <v>106</v>
      </c>
    </row>
    <row r="1825" spans="1:4" x14ac:dyDescent="0.25">
      <c r="A1825" t="s">
        <v>3615</v>
      </c>
      <c r="B1825" t="s">
        <v>1454</v>
      </c>
      <c r="C1825" t="s">
        <v>3616</v>
      </c>
      <c r="D1825" t="s">
        <v>8</v>
      </c>
    </row>
    <row r="1826" spans="1:4" x14ac:dyDescent="0.25">
      <c r="A1826" t="s">
        <v>3617</v>
      </c>
      <c r="B1826" t="s">
        <v>1454</v>
      </c>
      <c r="C1826" t="s">
        <v>3618</v>
      </c>
      <c r="D1826" t="s">
        <v>106</v>
      </c>
    </row>
    <row r="1827" spans="1:4" x14ac:dyDescent="0.25">
      <c r="A1827" t="s">
        <v>3619</v>
      </c>
      <c r="B1827" t="s">
        <v>1454</v>
      </c>
      <c r="C1827" t="s">
        <v>3620</v>
      </c>
      <c r="D1827" t="s">
        <v>106</v>
      </c>
    </row>
    <row r="1828" spans="1:4" x14ac:dyDescent="0.25">
      <c r="A1828" t="s">
        <v>3621</v>
      </c>
      <c r="B1828" t="s">
        <v>1454</v>
      </c>
      <c r="C1828" t="s">
        <v>3622</v>
      </c>
      <c r="D1828" t="s">
        <v>106</v>
      </c>
    </row>
    <row r="1829" spans="1:4" x14ac:dyDescent="0.25">
      <c r="A1829" t="s">
        <v>3623</v>
      </c>
      <c r="B1829" t="s">
        <v>1454</v>
      </c>
      <c r="C1829" t="s">
        <v>3624</v>
      </c>
      <c r="D1829" t="s">
        <v>8</v>
      </c>
    </row>
    <row r="1830" spans="1:4" x14ac:dyDescent="0.25">
      <c r="A1830" t="s">
        <v>3625</v>
      </c>
      <c r="B1830" t="s">
        <v>1454</v>
      </c>
      <c r="C1830" t="s">
        <v>3626</v>
      </c>
      <c r="D1830" t="s">
        <v>8</v>
      </c>
    </row>
    <row r="1831" spans="1:4" x14ac:dyDescent="0.25">
      <c r="A1831" t="s">
        <v>3627</v>
      </c>
      <c r="B1831" t="s">
        <v>1454</v>
      </c>
      <c r="C1831" t="s">
        <v>3628</v>
      </c>
      <c r="D1831" t="s">
        <v>8</v>
      </c>
    </row>
    <row r="1832" spans="1:4" x14ac:dyDescent="0.25">
      <c r="A1832" t="s">
        <v>3629</v>
      </c>
      <c r="B1832" t="s">
        <v>1454</v>
      </c>
      <c r="C1832" t="s">
        <v>3630</v>
      </c>
      <c r="D1832" t="s">
        <v>7</v>
      </c>
    </row>
    <row r="1833" spans="1:4" x14ac:dyDescent="0.25">
      <c r="A1833" t="s">
        <v>3631</v>
      </c>
      <c r="B1833" t="s">
        <v>1454</v>
      </c>
      <c r="C1833" t="s">
        <v>3632</v>
      </c>
      <c r="D1833" t="s">
        <v>3633</v>
      </c>
    </row>
    <row r="1834" spans="1:4" x14ac:dyDescent="0.25">
      <c r="A1834" t="s">
        <v>3634</v>
      </c>
      <c r="B1834" t="s">
        <v>1454</v>
      </c>
      <c r="C1834" t="s">
        <v>3635</v>
      </c>
      <c r="D1834" t="s">
        <v>3633</v>
      </c>
    </row>
    <row r="1835" spans="1:4" x14ac:dyDescent="0.25">
      <c r="A1835" t="s">
        <v>3636</v>
      </c>
      <c r="B1835" t="s">
        <v>1454</v>
      </c>
      <c r="C1835" t="s">
        <v>3637</v>
      </c>
      <c r="D1835" t="s">
        <v>3633</v>
      </c>
    </row>
    <row r="1836" spans="1:4" x14ac:dyDescent="0.25">
      <c r="A1836" t="s">
        <v>3638</v>
      </c>
      <c r="B1836" t="s">
        <v>1454</v>
      </c>
      <c r="C1836" t="s">
        <v>3639</v>
      </c>
      <c r="D1836" t="s">
        <v>3633</v>
      </c>
    </row>
    <row r="1837" spans="1:4" x14ac:dyDescent="0.25">
      <c r="A1837" t="s">
        <v>3640</v>
      </c>
      <c r="B1837" t="s">
        <v>1454</v>
      </c>
      <c r="C1837" t="s">
        <v>3641</v>
      </c>
      <c r="D1837" t="s">
        <v>3633</v>
      </c>
    </row>
    <row r="1838" spans="1:4" x14ac:dyDescent="0.25">
      <c r="A1838" t="s">
        <v>3642</v>
      </c>
      <c r="B1838" t="s">
        <v>1454</v>
      </c>
      <c r="C1838" t="s">
        <v>3643</v>
      </c>
      <c r="D1838" t="s">
        <v>3633</v>
      </c>
    </row>
    <row r="1839" spans="1:4" x14ac:dyDescent="0.25">
      <c r="A1839" t="s">
        <v>3644</v>
      </c>
      <c r="B1839" t="s">
        <v>1454</v>
      </c>
      <c r="C1839" t="s">
        <v>3645</v>
      </c>
      <c r="D1839" t="s">
        <v>3633</v>
      </c>
    </row>
    <row r="1840" spans="1:4" x14ac:dyDescent="0.25">
      <c r="A1840" t="s">
        <v>3646</v>
      </c>
      <c r="B1840" t="s">
        <v>1454</v>
      </c>
      <c r="C1840" t="s">
        <v>3647</v>
      </c>
      <c r="D1840" t="s">
        <v>3633</v>
      </c>
    </row>
    <row r="1841" spans="1:4" x14ac:dyDescent="0.25">
      <c r="A1841" t="s">
        <v>3648</v>
      </c>
      <c r="B1841" t="s">
        <v>1454</v>
      </c>
      <c r="C1841" t="s">
        <v>3649</v>
      </c>
      <c r="D1841" t="s">
        <v>3633</v>
      </c>
    </row>
    <row r="1842" spans="1:4" x14ac:dyDescent="0.25">
      <c r="A1842" t="s">
        <v>3650</v>
      </c>
      <c r="B1842" t="s">
        <v>1454</v>
      </c>
      <c r="C1842" t="s">
        <v>3651</v>
      </c>
      <c r="D1842" t="s">
        <v>3633</v>
      </c>
    </row>
    <row r="1843" spans="1:4" x14ac:dyDescent="0.25">
      <c r="A1843" t="s">
        <v>3652</v>
      </c>
      <c r="B1843" t="s">
        <v>1454</v>
      </c>
      <c r="C1843" t="s">
        <v>3653</v>
      </c>
      <c r="D1843" t="s">
        <v>3633</v>
      </c>
    </row>
    <row r="1844" spans="1:4" x14ac:dyDescent="0.25">
      <c r="A1844" t="s">
        <v>3654</v>
      </c>
      <c r="B1844" t="s">
        <v>1454</v>
      </c>
      <c r="C1844" t="s">
        <v>3655</v>
      </c>
      <c r="D1844" t="s">
        <v>3633</v>
      </c>
    </row>
    <row r="1845" spans="1:4" x14ac:dyDescent="0.25">
      <c r="A1845" t="s">
        <v>3656</v>
      </c>
      <c r="B1845" t="s">
        <v>1454</v>
      </c>
      <c r="C1845" t="s">
        <v>3657</v>
      </c>
      <c r="D1845" t="s">
        <v>3633</v>
      </c>
    </row>
    <row r="1846" spans="1:4" x14ac:dyDescent="0.25">
      <c r="A1846" t="s">
        <v>3658</v>
      </c>
      <c r="B1846" t="s">
        <v>1454</v>
      </c>
      <c r="C1846" t="s">
        <v>3659</v>
      </c>
      <c r="D1846" t="s">
        <v>3633</v>
      </c>
    </row>
    <row r="1847" spans="1:4" x14ac:dyDescent="0.25">
      <c r="A1847" t="s">
        <v>3660</v>
      </c>
      <c r="B1847" t="s">
        <v>1454</v>
      </c>
      <c r="C1847" t="s">
        <v>3661</v>
      </c>
      <c r="D1847" t="s">
        <v>3633</v>
      </c>
    </row>
    <row r="1848" spans="1:4" x14ac:dyDescent="0.25">
      <c r="A1848" t="s">
        <v>3662</v>
      </c>
      <c r="B1848" t="s">
        <v>1454</v>
      </c>
      <c r="C1848" t="s">
        <v>3663</v>
      </c>
      <c r="D1848" t="s">
        <v>3633</v>
      </c>
    </row>
    <row r="1849" spans="1:4" x14ac:dyDescent="0.25">
      <c r="A1849" t="s">
        <v>3664</v>
      </c>
      <c r="B1849" t="s">
        <v>1454</v>
      </c>
      <c r="C1849" t="s">
        <v>3665</v>
      </c>
      <c r="D1849" t="s">
        <v>3633</v>
      </c>
    </row>
    <row r="1850" spans="1:4" x14ac:dyDescent="0.25">
      <c r="A1850" t="s">
        <v>3666</v>
      </c>
      <c r="B1850" t="s">
        <v>1454</v>
      </c>
      <c r="C1850" t="s">
        <v>3667</v>
      </c>
      <c r="D1850" t="s">
        <v>3633</v>
      </c>
    </row>
    <row r="1851" spans="1:4" x14ac:dyDescent="0.25">
      <c r="A1851" t="s">
        <v>3668</v>
      </c>
      <c r="B1851" t="s">
        <v>1454</v>
      </c>
      <c r="C1851" t="s">
        <v>3669</v>
      </c>
      <c r="D1851" t="s">
        <v>1886</v>
      </c>
    </row>
    <row r="1852" spans="1:4" x14ac:dyDescent="0.25">
      <c r="A1852" t="s">
        <v>3670</v>
      </c>
      <c r="B1852" t="s">
        <v>1454</v>
      </c>
      <c r="C1852" t="s">
        <v>3671</v>
      </c>
      <c r="D1852" t="s">
        <v>16</v>
      </c>
    </row>
    <row r="1853" spans="1:4" x14ac:dyDescent="0.25">
      <c r="A1853" t="s">
        <v>3672</v>
      </c>
      <c r="B1853" t="s">
        <v>1454</v>
      </c>
      <c r="C1853" t="s">
        <v>3673</v>
      </c>
      <c r="D1853" t="s">
        <v>7</v>
      </c>
    </row>
    <row r="1854" spans="1:4" x14ac:dyDescent="0.25">
      <c r="A1854" t="s">
        <v>3674</v>
      </c>
      <c r="B1854" t="s">
        <v>1454</v>
      </c>
      <c r="C1854" t="s">
        <v>3675</v>
      </c>
      <c r="D1854" t="s">
        <v>1886</v>
      </c>
    </row>
    <row r="1855" spans="1:4" x14ac:dyDescent="0.25">
      <c r="A1855" t="s">
        <v>3676</v>
      </c>
      <c r="B1855" t="s">
        <v>1454</v>
      </c>
      <c r="C1855" t="s">
        <v>3677</v>
      </c>
      <c r="D1855" t="s">
        <v>106</v>
      </c>
    </row>
    <row r="1856" spans="1:4" x14ac:dyDescent="0.25">
      <c r="A1856" t="s">
        <v>3678</v>
      </c>
      <c r="B1856" t="s">
        <v>1454</v>
      </c>
      <c r="C1856" t="s">
        <v>3679</v>
      </c>
      <c r="D1856" t="s">
        <v>7</v>
      </c>
    </row>
    <row r="1857" spans="1:4" x14ac:dyDescent="0.25">
      <c r="A1857" t="s">
        <v>3680</v>
      </c>
      <c r="B1857" t="s">
        <v>1454</v>
      </c>
      <c r="C1857" t="s">
        <v>3681</v>
      </c>
      <c r="D1857" t="s">
        <v>1886</v>
      </c>
    </row>
    <row r="1858" spans="1:4" x14ac:dyDescent="0.25">
      <c r="A1858" t="s">
        <v>3682</v>
      </c>
      <c r="B1858" t="s">
        <v>1454</v>
      </c>
      <c r="C1858" t="s">
        <v>3683</v>
      </c>
      <c r="D1858" t="s">
        <v>106</v>
      </c>
    </row>
    <row r="1859" spans="1:4" x14ac:dyDescent="0.25">
      <c r="A1859" t="s">
        <v>3684</v>
      </c>
      <c r="B1859" t="s">
        <v>1454</v>
      </c>
      <c r="C1859" t="s">
        <v>3685</v>
      </c>
      <c r="D1859" t="s">
        <v>7</v>
      </c>
    </row>
    <row r="1860" spans="1:4" x14ac:dyDescent="0.25">
      <c r="A1860" t="s">
        <v>3686</v>
      </c>
      <c r="B1860" t="s">
        <v>1454</v>
      </c>
      <c r="C1860" t="s">
        <v>3687</v>
      </c>
      <c r="D1860" t="s">
        <v>106</v>
      </c>
    </row>
    <row r="1861" spans="1:4" x14ac:dyDescent="0.25">
      <c r="A1861" t="s">
        <v>3688</v>
      </c>
      <c r="B1861" t="s">
        <v>1454</v>
      </c>
      <c r="C1861" t="s">
        <v>3689</v>
      </c>
      <c r="D1861" t="s">
        <v>106</v>
      </c>
    </row>
    <row r="1862" spans="1:4" x14ac:dyDescent="0.25">
      <c r="A1862" t="s">
        <v>3690</v>
      </c>
      <c r="B1862" t="s">
        <v>1454</v>
      </c>
      <c r="C1862" t="s">
        <v>3691</v>
      </c>
      <c r="D1862" t="s">
        <v>106</v>
      </c>
    </row>
    <row r="1863" spans="1:4" x14ac:dyDescent="0.25">
      <c r="A1863" t="s">
        <v>3692</v>
      </c>
      <c r="B1863" t="s">
        <v>1454</v>
      </c>
      <c r="C1863" t="s">
        <v>3693</v>
      </c>
      <c r="D1863" t="s">
        <v>16</v>
      </c>
    </row>
    <row r="1864" spans="1:4" x14ac:dyDescent="0.25">
      <c r="A1864" t="s">
        <v>3694</v>
      </c>
      <c r="B1864" t="s">
        <v>1454</v>
      </c>
      <c r="C1864" t="s">
        <v>3695</v>
      </c>
      <c r="D1864" t="s">
        <v>7</v>
      </c>
    </row>
    <row r="1865" spans="1:4" x14ac:dyDescent="0.25">
      <c r="A1865" t="s">
        <v>3696</v>
      </c>
      <c r="B1865" t="s">
        <v>1454</v>
      </c>
      <c r="C1865" t="s">
        <v>3697</v>
      </c>
      <c r="D1865" t="s">
        <v>106</v>
      </c>
    </row>
    <row r="1866" spans="1:4" x14ac:dyDescent="0.25">
      <c r="A1866" t="s">
        <v>3698</v>
      </c>
      <c r="B1866" t="s">
        <v>1454</v>
      </c>
      <c r="C1866" t="s">
        <v>3699</v>
      </c>
      <c r="D1866" t="s">
        <v>106</v>
      </c>
    </row>
    <row r="1867" spans="1:4" x14ac:dyDescent="0.25">
      <c r="A1867" t="s">
        <v>3700</v>
      </c>
      <c r="B1867" t="s">
        <v>1454</v>
      </c>
      <c r="C1867" t="s">
        <v>3701</v>
      </c>
      <c r="D1867" t="s">
        <v>106</v>
      </c>
    </row>
    <row r="1868" spans="1:4" x14ac:dyDescent="0.25">
      <c r="A1868" t="s">
        <v>3702</v>
      </c>
      <c r="B1868" t="s">
        <v>1454</v>
      </c>
      <c r="C1868" t="s">
        <v>3703</v>
      </c>
      <c r="D1868" t="s">
        <v>16</v>
      </c>
    </row>
    <row r="1869" spans="1:4" x14ac:dyDescent="0.25">
      <c r="A1869" t="s">
        <v>3704</v>
      </c>
      <c r="B1869" t="s">
        <v>1454</v>
      </c>
      <c r="C1869" t="s">
        <v>3705</v>
      </c>
      <c r="D1869" t="s">
        <v>16</v>
      </c>
    </row>
    <row r="1870" spans="1:4" x14ac:dyDescent="0.25">
      <c r="A1870" t="s">
        <v>3706</v>
      </c>
      <c r="B1870" t="s">
        <v>1454</v>
      </c>
      <c r="C1870" t="s">
        <v>3707</v>
      </c>
      <c r="D1870" t="s">
        <v>106</v>
      </c>
    </row>
    <row r="1871" spans="1:4" x14ac:dyDescent="0.25">
      <c r="A1871" t="s">
        <v>3708</v>
      </c>
      <c r="B1871" t="s">
        <v>1454</v>
      </c>
      <c r="C1871" t="s">
        <v>3709</v>
      </c>
      <c r="D1871" t="s">
        <v>106</v>
      </c>
    </row>
    <row r="1872" spans="1:4" x14ac:dyDescent="0.25">
      <c r="A1872" t="s">
        <v>3710</v>
      </c>
      <c r="B1872" t="s">
        <v>1454</v>
      </c>
      <c r="C1872" t="s">
        <v>3711</v>
      </c>
      <c r="D1872" t="s">
        <v>106</v>
      </c>
    </row>
    <row r="1873" spans="1:4" x14ac:dyDescent="0.25">
      <c r="A1873" t="s">
        <v>3712</v>
      </c>
      <c r="B1873" t="s">
        <v>1454</v>
      </c>
      <c r="C1873" t="s">
        <v>3713</v>
      </c>
      <c r="D1873" t="s">
        <v>16</v>
      </c>
    </row>
    <row r="1874" spans="1:4" x14ac:dyDescent="0.25">
      <c r="A1874" t="s">
        <v>3714</v>
      </c>
      <c r="B1874" t="s">
        <v>1454</v>
      </c>
      <c r="C1874" t="s">
        <v>3715</v>
      </c>
      <c r="D1874" t="s">
        <v>7</v>
      </c>
    </row>
    <row r="1875" spans="1:4" x14ac:dyDescent="0.25">
      <c r="A1875" t="s">
        <v>3716</v>
      </c>
      <c r="B1875" t="s">
        <v>1454</v>
      </c>
      <c r="C1875" t="s">
        <v>3717</v>
      </c>
      <c r="D1875" t="s">
        <v>65</v>
      </c>
    </row>
    <row r="1876" spans="1:4" x14ac:dyDescent="0.25">
      <c r="A1876" t="s">
        <v>3718</v>
      </c>
      <c r="B1876" t="s">
        <v>1454</v>
      </c>
      <c r="C1876" t="s">
        <v>3719</v>
      </c>
      <c r="D1876" t="s">
        <v>7</v>
      </c>
    </row>
    <row r="1877" spans="1:4" x14ac:dyDescent="0.25">
      <c r="A1877" t="s">
        <v>3720</v>
      </c>
      <c r="B1877" t="s">
        <v>1454</v>
      </c>
      <c r="C1877" t="s">
        <v>3721</v>
      </c>
      <c r="D1877" t="s">
        <v>7</v>
      </c>
    </row>
    <row r="1878" spans="1:4" x14ac:dyDescent="0.25">
      <c r="A1878" t="s">
        <v>3722</v>
      </c>
      <c r="B1878" t="s">
        <v>1454</v>
      </c>
      <c r="C1878" t="s">
        <v>3723</v>
      </c>
      <c r="D1878" t="s">
        <v>7</v>
      </c>
    </row>
    <row r="1879" spans="1:4" x14ac:dyDescent="0.25">
      <c r="A1879" t="s">
        <v>3724</v>
      </c>
      <c r="B1879" t="s">
        <v>1454</v>
      </c>
      <c r="C1879" t="s">
        <v>3725</v>
      </c>
      <c r="D1879" t="s">
        <v>7</v>
      </c>
    </row>
    <row r="1880" spans="1:4" x14ac:dyDescent="0.25">
      <c r="A1880" t="s">
        <v>3726</v>
      </c>
      <c r="B1880" t="s">
        <v>1454</v>
      </c>
      <c r="C1880" t="s">
        <v>3727</v>
      </c>
      <c r="D1880" t="s">
        <v>7</v>
      </c>
    </row>
    <row r="1881" spans="1:4" x14ac:dyDescent="0.25">
      <c r="A1881" t="s">
        <v>3728</v>
      </c>
      <c r="B1881" t="s">
        <v>1454</v>
      </c>
      <c r="C1881" t="s">
        <v>3729</v>
      </c>
      <c r="D1881" t="s">
        <v>7</v>
      </c>
    </row>
    <row r="1882" spans="1:4" x14ac:dyDescent="0.25">
      <c r="A1882" t="s">
        <v>3730</v>
      </c>
      <c r="B1882" t="s">
        <v>1454</v>
      </c>
      <c r="C1882" t="s">
        <v>3731</v>
      </c>
      <c r="D1882" t="s">
        <v>106</v>
      </c>
    </row>
    <row r="1883" spans="1:4" x14ac:dyDescent="0.25">
      <c r="A1883" t="s">
        <v>3732</v>
      </c>
      <c r="B1883" t="s">
        <v>1454</v>
      </c>
      <c r="C1883" t="s">
        <v>3733</v>
      </c>
      <c r="D1883" t="s">
        <v>7</v>
      </c>
    </row>
    <row r="1884" spans="1:4" x14ac:dyDescent="0.25">
      <c r="A1884" t="s">
        <v>3734</v>
      </c>
      <c r="B1884" t="s">
        <v>1454</v>
      </c>
      <c r="C1884" t="s">
        <v>3735</v>
      </c>
      <c r="D1884" t="s">
        <v>106</v>
      </c>
    </row>
    <row r="1885" spans="1:4" x14ac:dyDescent="0.25">
      <c r="A1885" t="s">
        <v>3736</v>
      </c>
      <c r="B1885" t="s">
        <v>1454</v>
      </c>
      <c r="C1885" t="s">
        <v>3737</v>
      </c>
      <c r="D1885" t="s">
        <v>7</v>
      </c>
    </row>
    <row r="1886" spans="1:4" x14ac:dyDescent="0.25">
      <c r="A1886" t="s">
        <v>3738</v>
      </c>
      <c r="B1886" t="s">
        <v>1454</v>
      </c>
      <c r="C1886" t="s">
        <v>3739</v>
      </c>
      <c r="D1886" t="s">
        <v>1886</v>
      </c>
    </row>
    <row r="1887" spans="1:4" x14ac:dyDescent="0.25">
      <c r="A1887" t="s">
        <v>3740</v>
      </c>
      <c r="B1887" t="s">
        <v>1454</v>
      </c>
      <c r="C1887" t="s">
        <v>3741</v>
      </c>
      <c r="D1887" t="s">
        <v>106</v>
      </c>
    </row>
    <row r="1888" spans="1:4" x14ac:dyDescent="0.25">
      <c r="A1888" t="s">
        <v>3742</v>
      </c>
      <c r="B1888" t="s">
        <v>1454</v>
      </c>
      <c r="C1888" t="s">
        <v>3743</v>
      </c>
      <c r="D1888" t="s">
        <v>8</v>
      </c>
    </row>
    <row r="1889" spans="1:4" x14ac:dyDescent="0.25">
      <c r="A1889" t="s">
        <v>3744</v>
      </c>
      <c r="B1889" t="s">
        <v>1454</v>
      </c>
      <c r="C1889" t="s">
        <v>3745</v>
      </c>
      <c r="D1889" t="s">
        <v>1886</v>
      </c>
    </row>
    <row r="1890" spans="1:4" x14ac:dyDescent="0.25">
      <c r="A1890" t="s">
        <v>3746</v>
      </c>
      <c r="B1890" t="s">
        <v>1454</v>
      </c>
      <c r="C1890" t="s">
        <v>3747</v>
      </c>
      <c r="D1890" t="s">
        <v>106</v>
      </c>
    </row>
    <row r="1891" spans="1:4" x14ac:dyDescent="0.25">
      <c r="A1891" t="s">
        <v>3748</v>
      </c>
      <c r="B1891" t="s">
        <v>1454</v>
      </c>
      <c r="C1891" t="s">
        <v>3749</v>
      </c>
      <c r="D1891" t="s">
        <v>1886</v>
      </c>
    </row>
    <row r="1892" spans="1:4" x14ac:dyDescent="0.25">
      <c r="A1892" t="s">
        <v>3750</v>
      </c>
      <c r="B1892" t="s">
        <v>1454</v>
      </c>
      <c r="C1892" t="s">
        <v>3751</v>
      </c>
      <c r="D1892" t="s">
        <v>106</v>
      </c>
    </row>
    <row r="1893" spans="1:4" x14ac:dyDescent="0.25">
      <c r="A1893" t="s">
        <v>3752</v>
      </c>
      <c r="B1893" t="s">
        <v>1454</v>
      </c>
      <c r="C1893" t="s">
        <v>3753</v>
      </c>
      <c r="D1893" t="s">
        <v>8</v>
      </c>
    </row>
    <row r="1894" spans="1:4" x14ac:dyDescent="0.25">
      <c r="A1894" t="s">
        <v>3754</v>
      </c>
      <c r="B1894" t="s">
        <v>1454</v>
      </c>
      <c r="C1894" t="s">
        <v>3755</v>
      </c>
      <c r="D1894" t="s">
        <v>1886</v>
      </c>
    </row>
    <row r="1895" spans="1:4" x14ac:dyDescent="0.25">
      <c r="A1895" t="s">
        <v>3756</v>
      </c>
      <c r="B1895" t="s">
        <v>1454</v>
      </c>
      <c r="C1895" t="s">
        <v>3757</v>
      </c>
      <c r="D1895" t="s">
        <v>106</v>
      </c>
    </row>
    <row r="1896" spans="1:4" x14ac:dyDescent="0.25">
      <c r="A1896" t="s">
        <v>3758</v>
      </c>
      <c r="B1896" t="s">
        <v>1454</v>
      </c>
      <c r="C1896" t="s">
        <v>3759</v>
      </c>
      <c r="D1896" t="s">
        <v>1886</v>
      </c>
    </row>
    <row r="1897" spans="1:4" x14ac:dyDescent="0.25">
      <c r="A1897" t="s">
        <v>3760</v>
      </c>
      <c r="B1897" t="s">
        <v>1454</v>
      </c>
      <c r="C1897" t="s">
        <v>3761</v>
      </c>
      <c r="D1897" t="s">
        <v>106</v>
      </c>
    </row>
    <row r="1898" spans="1:4" x14ac:dyDescent="0.25">
      <c r="A1898" t="s">
        <v>3762</v>
      </c>
      <c r="B1898" t="s">
        <v>1454</v>
      </c>
      <c r="C1898" t="s">
        <v>3763</v>
      </c>
      <c r="D1898" t="s">
        <v>8</v>
      </c>
    </row>
    <row r="1899" spans="1:4" x14ac:dyDescent="0.25">
      <c r="A1899" t="s">
        <v>3764</v>
      </c>
      <c r="B1899" t="s">
        <v>1454</v>
      </c>
      <c r="C1899" t="s">
        <v>3765</v>
      </c>
      <c r="D1899" t="s">
        <v>7</v>
      </c>
    </row>
    <row r="1900" spans="1:4" x14ac:dyDescent="0.25">
      <c r="A1900" t="s">
        <v>3766</v>
      </c>
      <c r="B1900" t="s">
        <v>1454</v>
      </c>
      <c r="C1900" t="s">
        <v>3767</v>
      </c>
      <c r="D1900" t="s">
        <v>106</v>
      </c>
    </row>
    <row r="1901" spans="1:4" x14ac:dyDescent="0.25">
      <c r="A1901" t="s">
        <v>3768</v>
      </c>
      <c r="B1901" t="s">
        <v>1454</v>
      </c>
      <c r="C1901" t="s">
        <v>3769</v>
      </c>
      <c r="D1901" t="s">
        <v>16</v>
      </c>
    </row>
    <row r="1902" spans="1:4" x14ac:dyDescent="0.25">
      <c r="A1902" t="s">
        <v>3770</v>
      </c>
      <c r="B1902" t="s">
        <v>1454</v>
      </c>
      <c r="C1902" t="s">
        <v>3771</v>
      </c>
      <c r="D1902" t="s">
        <v>16</v>
      </c>
    </row>
    <row r="1903" spans="1:4" x14ac:dyDescent="0.25">
      <c r="A1903" t="s">
        <v>3772</v>
      </c>
      <c r="B1903" t="s">
        <v>1454</v>
      </c>
      <c r="C1903" t="s">
        <v>3773</v>
      </c>
      <c r="D1903" t="s">
        <v>16</v>
      </c>
    </row>
    <row r="1904" spans="1:4" x14ac:dyDescent="0.25">
      <c r="A1904" t="s">
        <v>3774</v>
      </c>
      <c r="B1904" t="s">
        <v>1454</v>
      </c>
      <c r="C1904" t="s">
        <v>3775</v>
      </c>
      <c r="D1904" t="s">
        <v>16</v>
      </c>
    </row>
    <row r="1905" spans="1:4" x14ac:dyDescent="0.25">
      <c r="A1905" t="s">
        <v>3776</v>
      </c>
      <c r="B1905" t="s">
        <v>1454</v>
      </c>
      <c r="C1905" t="s">
        <v>3777</v>
      </c>
      <c r="D1905" t="s">
        <v>7</v>
      </c>
    </row>
    <row r="1906" spans="1:4" x14ac:dyDescent="0.25">
      <c r="A1906" t="s">
        <v>3778</v>
      </c>
      <c r="B1906" t="s">
        <v>1454</v>
      </c>
      <c r="C1906" t="s">
        <v>3779</v>
      </c>
      <c r="D1906" t="s">
        <v>7</v>
      </c>
    </row>
    <row r="1907" spans="1:4" x14ac:dyDescent="0.25">
      <c r="A1907" t="s">
        <v>3780</v>
      </c>
      <c r="B1907" t="s">
        <v>1454</v>
      </c>
      <c r="C1907" t="s">
        <v>3781</v>
      </c>
      <c r="D1907" t="s">
        <v>7</v>
      </c>
    </row>
    <row r="1908" spans="1:4" x14ac:dyDescent="0.25">
      <c r="A1908" t="s">
        <v>3782</v>
      </c>
      <c r="B1908" t="s">
        <v>1454</v>
      </c>
      <c r="C1908" t="s">
        <v>3783</v>
      </c>
      <c r="D1908" t="s">
        <v>7</v>
      </c>
    </row>
    <row r="1909" spans="1:4" x14ac:dyDescent="0.25">
      <c r="A1909" t="s">
        <v>3784</v>
      </c>
      <c r="B1909" t="s">
        <v>1454</v>
      </c>
      <c r="C1909" t="s">
        <v>3785</v>
      </c>
      <c r="D1909" t="s">
        <v>16</v>
      </c>
    </row>
    <row r="1910" spans="1:4" x14ac:dyDescent="0.25">
      <c r="A1910" t="s">
        <v>3786</v>
      </c>
      <c r="B1910" t="s">
        <v>1454</v>
      </c>
      <c r="C1910" t="s">
        <v>3787</v>
      </c>
      <c r="D1910" t="s">
        <v>106</v>
      </c>
    </row>
    <row r="1911" spans="1:4" x14ac:dyDescent="0.25">
      <c r="A1911" t="s">
        <v>3788</v>
      </c>
      <c r="B1911" t="s">
        <v>1454</v>
      </c>
      <c r="C1911" t="s">
        <v>3789</v>
      </c>
      <c r="D1911" t="s">
        <v>106</v>
      </c>
    </row>
    <row r="1912" spans="1:4" x14ac:dyDescent="0.25">
      <c r="A1912" t="s">
        <v>3790</v>
      </c>
      <c r="B1912" t="s">
        <v>1454</v>
      </c>
      <c r="C1912" t="s">
        <v>3791</v>
      </c>
      <c r="D1912" t="s">
        <v>106</v>
      </c>
    </row>
    <row r="1913" spans="1:4" x14ac:dyDescent="0.25">
      <c r="A1913" t="s">
        <v>3792</v>
      </c>
      <c r="B1913" t="s">
        <v>1454</v>
      </c>
      <c r="C1913" t="s">
        <v>3793</v>
      </c>
      <c r="D1913" t="s">
        <v>16</v>
      </c>
    </row>
    <row r="1914" spans="1:4" x14ac:dyDescent="0.25">
      <c r="A1914" t="s">
        <v>3794</v>
      </c>
      <c r="B1914" t="s">
        <v>1454</v>
      </c>
      <c r="C1914" t="s">
        <v>3795</v>
      </c>
      <c r="D1914" t="s">
        <v>16</v>
      </c>
    </row>
    <row r="1915" spans="1:4" x14ac:dyDescent="0.25">
      <c r="A1915" t="s">
        <v>3796</v>
      </c>
      <c r="B1915" t="s">
        <v>1454</v>
      </c>
      <c r="C1915" t="s">
        <v>3797</v>
      </c>
      <c r="D1915" t="s">
        <v>106</v>
      </c>
    </row>
    <row r="1916" spans="1:4" x14ac:dyDescent="0.25">
      <c r="A1916" t="s">
        <v>3798</v>
      </c>
      <c r="B1916" t="s">
        <v>1454</v>
      </c>
      <c r="C1916" t="s">
        <v>3799</v>
      </c>
      <c r="D1916" t="s">
        <v>16</v>
      </c>
    </row>
    <row r="1917" spans="1:4" x14ac:dyDescent="0.25">
      <c r="A1917" t="s">
        <v>3800</v>
      </c>
      <c r="B1917" t="s">
        <v>1454</v>
      </c>
      <c r="C1917" t="s">
        <v>3801</v>
      </c>
      <c r="D1917" t="s">
        <v>106</v>
      </c>
    </row>
    <row r="1918" spans="1:4" x14ac:dyDescent="0.25">
      <c r="A1918" t="s">
        <v>3802</v>
      </c>
      <c r="B1918" t="s">
        <v>1454</v>
      </c>
      <c r="C1918" t="s">
        <v>3803</v>
      </c>
      <c r="D1918" t="s">
        <v>106</v>
      </c>
    </row>
    <row r="1919" spans="1:4" x14ac:dyDescent="0.25">
      <c r="A1919" t="s">
        <v>3804</v>
      </c>
      <c r="B1919" t="s">
        <v>1454</v>
      </c>
      <c r="C1919" t="s">
        <v>3805</v>
      </c>
      <c r="D1919" t="s">
        <v>7</v>
      </c>
    </row>
    <row r="1920" spans="1:4" x14ac:dyDescent="0.25">
      <c r="A1920" t="s">
        <v>3806</v>
      </c>
      <c r="B1920" t="s">
        <v>1454</v>
      </c>
      <c r="C1920" t="s">
        <v>3807</v>
      </c>
      <c r="D1920" t="s">
        <v>7</v>
      </c>
    </row>
    <row r="1921" spans="1:4" x14ac:dyDescent="0.25">
      <c r="A1921" t="s">
        <v>3808</v>
      </c>
      <c r="B1921" t="s">
        <v>1454</v>
      </c>
      <c r="C1921" t="s">
        <v>3809</v>
      </c>
      <c r="D1921" t="s">
        <v>7</v>
      </c>
    </row>
    <row r="1922" spans="1:4" x14ac:dyDescent="0.25">
      <c r="A1922" t="s">
        <v>3810</v>
      </c>
      <c r="B1922" t="s">
        <v>1454</v>
      </c>
      <c r="C1922" t="s">
        <v>3811</v>
      </c>
      <c r="D1922" t="s">
        <v>7</v>
      </c>
    </row>
    <row r="1923" spans="1:4" x14ac:dyDescent="0.25">
      <c r="A1923" t="s">
        <v>3812</v>
      </c>
      <c r="B1923" t="s">
        <v>1454</v>
      </c>
      <c r="C1923" t="s">
        <v>3813</v>
      </c>
      <c r="D1923" t="s">
        <v>16</v>
      </c>
    </row>
    <row r="1924" spans="1:4" x14ac:dyDescent="0.25">
      <c r="A1924" t="s">
        <v>3814</v>
      </c>
      <c r="B1924" t="s">
        <v>1454</v>
      </c>
      <c r="C1924" t="s">
        <v>3815</v>
      </c>
      <c r="D1924" t="s">
        <v>106</v>
      </c>
    </row>
    <row r="1925" spans="1:4" x14ac:dyDescent="0.25">
      <c r="A1925" t="s">
        <v>3816</v>
      </c>
      <c r="B1925" t="s">
        <v>1454</v>
      </c>
      <c r="C1925" t="s">
        <v>3817</v>
      </c>
      <c r="D1925" t="s">
        <v>106</v>
      </c>
    </row>
    <row r="1926" spans="1:4" x14ac:dyDescent="0.25">
      <c r="A1926" t="s">
        <v>3818</v>
      </c>
      <c r="B1926" t="s">
        <v>1454</v>
      </c>
      <c r="C1926" t="s">
        <v>3819</v>
      </c>
      <c r="D1926" t="s">
        <v>16</v>
      </c>
    </row>
    <row r="1927" spans="1:4" x14ac:dyDescent="0.25">
      <c r="A1927" t="s">
        <v>3820</v>
      </c>
      <c r="B1927" t="s">
        <v>1454</v>
      </c>
      <c r="C1927" t="s">
        <v>3821</v>
      </c>
      <c r="D1927" t="s">
        <v>16</v>
      </c>
    </row>
    <row r="1928" spans="1:4" x14ac:dyDescent="0.25">
      <c r="A1928" t="s">
        <v>3822</v>
      </c>
      <c r="B1928" t="s">
        <v>1454</v>
      </c>
      <c r="C1928" t="s">
        <v>3823</v>
      </c>
      <c r="D1928" t="s">
        <v>16</v>
      </c>
    </row>
    <row r="1929" spans="1:4" x14ac:dyDescent="0.25">
      <c r="A1929" t="s">
        <v>3824</v>
      </c>
      <c r="B1929" t="s">
        <v>1454</v>
      </c>
      <c r="C1929" t="s">
        <v>3825</v>
      </c>
      <c r="D1929" t="s">
        <v>16</v>
      </c>
    </row>
    <row r="1930" spans="1:4" x14ac:dyDescent="0.25">
      <c r="A1930" t="s">
        <v>3826</v>
      </c>
      <c r="B1930" t="s">
        <v>1454</v>
      </c>
      <c r="C1930" t="s">
        <v>3827</v>
      </c>
      <c r="D1930" t="s">
        <v>16</v>
      </c>
    </row>
    <row r="1931" spans="1:4" x14ac:dyDescent="0.25">
      <c r="A1931" t="s">
        <v>3828</v>
      </c>
      <c r="B1931" t="s">
        <v>1454</v>
      </c>
      <c r="C1931" t="s">
        <v>3829</v>
      </c>
      <c r="D1931" t="s">
        <v>65</v>
      </c>
    </row>
    <row r="1932" spans="1:4" x14ac:dyDescent="0.25">
      <c r="A1932" t="s">
        <v>3830</v>
      </c>
      <c r="B1932" t="s">
        <v>1454</v>
      </c>
      <c r="C1932" t="s">
        <v>3831</v>
      </c>
      <c r="D1932" t="s">
        <v>16</v>
      </c>
    </row>
    <row r="1933" spans="1:4" x14ac:dyDescent="0.25">
      <c r="A1933" t="s">
        <v>3832</v>
      </c>
      <c r="B1933" t="s">
        <v>1454</v>
      </c>
      <c r="C1933" t="s">
        <v>3833</v>
      </c>
      <c r="D1933" t="s">
        <v>65</v>
      </c>
    </row>
    <row r="1934" spans="1:4" x14ac:dyDescent="0.25">
      <c r="A1934" t="s">
        <v>3834</v>
      </c>
      <c r="B1934" t="s">
        <v>1454</v>
      </c>
      <c r="C1934" t="s">
        <v>3835</v>
      </c>
      <c r="D1934" t="s">
        <v>16</v>
      </c>
    </row>
    <row r="1935" spans="1:4" x14ac:dyDescent="0.25">
      <c r="A1935" t="s">
        <v>3836</v>
      </c>
      <c r="B1935" t="s">
        <v>1454</v>
      </c>
      <c r="C1935" t="s">
        <v>3837</v>
      </c>
      <c r="D1935" t="s">
        <v>65</v>
      </c>
    </row>
    <row r="1936" spans="1:4" x14ac:dyDescent="0.25">
      <c r="A1936" t="s">
        <v>3838</v>
      </c>
      <c r="B1936" t="s">
        <v>1454</v>
      </c>
      <c r="C1936" t="s">
        <v>3839</v>
      </c>
      <c r="D1936" t="s">
        <v>16</v>
      </c>
    </row>
    <row r="1937" spans="1:4" x14ac:dyDescent="0.25">
      <c r="A1937" t="s">
        <v>3840</v>
      </c>
      <c r="B1937" t="s">
        <v>1454</v>
      </c>
      <c r="C1937" t="s">
        <v>3841</v>
      </c>
      <c r="D1937" t="s">
        <v>65</v>
      </c>
    </row>
    <row r="1938" spans="1:4" x14ac:dyDescent="0.25">
      <c r="A1938" t="s">
        <v>3842</v>
      </c>
      <c r="B1938" t="s">
        <v>1454</v>
      </c>
      <c r="C1938" t="s">
        <v>3843</v>
      </c>
      <c r="D1938" t="s">
        <v>7</v>
      </c>
    </row>
    <row r="1939" spans="1:4" x14ac:dyDescent="0.25">
      <c r="A1939" t="s">
        <v>3844</v>
      </c>
      <c r="B1939" t="s">
        <v>1454</v>
      </c>
      <c r="C1939" t="s">
        <v>3845</v>
      </c>
      <c r="D1939" t="s">
        <v>7</v>
      </c>
    </row>
    <row r="1940" spans="1:4" x14ac:dyDescent="0.25">
      <c r="A1940" t="s">
        <v>3846</v>
      </c>
      <c r="B1940" t="s">
        <v>1454</v>
      </c>
      <c r="C1940" t="s">
        <v>3847</v>
      </c>
      <c r="D1940" t="s">
        <v>7</v>
      </c>
    </row>
    <row r="1941" spans="1:4" x14ac:dyDescent="0.25">
      <c r="A1941" t="s">
        <v>3848</v>
      </c>
      <c r="B1941" t="s">
        <v>1454</v>
      </c>
      <c r="C1941" t="s">
        <v>3849</v>
      </c>
      <c r="D1941" t="s">
        <v>7</v>
      </c>
    </row>
    <row r="1942" spans="1:4" x14ac:dyDescent="0.25">
      <c r="A1942" t="s">
        <v>3850</v>
      </c>
      <c r="B1942" t="s">
        <v>1454</v>
      </c>
      <c r="C1942" t="s">
        <v>3851</v>
      </c>
      <c r="D1942" t="s">
        <v>7</v>
      </c>
    </row>
    <row r="1943" spans="1:4" x14ac:dyDescent="0.25">
      <c r="A1943" t="s">
        <v>3852</v>
      </c>
      <c r="B1943" t="s">
        <v>1454</v>
      </c>
      <c r="C1943" t="s">
        <v>3853</v>
      </c>
      <c r="D1943" t="s">
        <v>7</v>
      </c>
    </row>
    <row r="1944" spans="1:4" x14ac:dyDescent="0.25">
      <c r="A1944" t="s">
        <v>3854</v>
      </c>
      <c r="B1944" t="s">
        <v>1454</v>
      </c>
      <c r="C1944" t="s">
        <v>3855</v>
      </c>
      <c r="D1944" t="s">
        <v>7</v>
      </c>
    </row>
    <row r="1945" spans="1:4" x14ac:dyDescent="0.25">
      <c r="A1945" t="s">
        <v>3856</v>
      </c>
      <c r="B1945" t="s">
        <v>1454</v>
      </c>
      <c r="C1945" t="s">
        <v>3857</v>
      </c>
      <c r="D1945" t="s">
        <v>7</v>
      </c>
    </row>
    <row r="1946" spans="1:4" x14ac:dyDescent="0.25">
      <c r="A1946" t="s">
        <v>3858</v>
      </c>
      <c r="B1946" t="s">
        <v>1454</v>
      </c>
      <c r="C1946" t="s">
        <v>3859</v>
      </c>
      <c r="D1946" t="s">
        <v>7</v>
      </c>
    </row>
    <row r="1947" spans="1:4" x14ac:dyDescent="0.25">
      <c r="A1947" t="s">
        <v>3860</v>
      </c>
      <c r="B1947" t="s">
        <v>1454</v>
      </c>
      <c r="C1947" t="s">
        <v>3861</v>
      </c>
      <c r="D1947" t="s">
        <v>7</v>
      </c>
    </row>
    <row r="1948" spans="1:4" x14ac:dyDescent="0.25">
      <c r="A1948" t="s">
        <v>3862</v>
      </c>
      <c r="B1948" t="s">
        <v>1454</v>
      </c>
      <c r="C1948" t="s">
        <v>3863</v>
      </c>
      <c r="D1948" t="s">
        <v>106</v>
      </c>
    </row>
    <row r="1949" spans="1:4" x14ac:dyDescent="0.25">
      <c r="A1949" t="s">
        <v>3864</v>
      </c>
      <c r="B1949" t="s">
        <v>1454</v>
      </c>
      <c r="C1949" t="s">
        <v>3865</v>
      </c>
      <c r="D1949" t="s">
        <v>106</v>
      </c>
    </row>
    <row r="1950" spans="1:4" x14ac:dyDescent="0.25">
      <c r="A1950" t="s">
        <v>3866</v>
      </c>
      <c r="B1950" t="s">
        <v>1454</v>
      </c>
      <c r="C1950" t="s">
        <v>3867</v>
      </c>
      <c r="D1950" t="s">
        <v>3868</v>
      </c>
    </row>
    <row r="1951" spans="1:4" x14ac:dyDescent="0.25">
      <c r="A1951" t="s">
        <v>3869</v>
      </c>
      <c r="B1951" t="s">
        <v>1454</v>
      </c>
      <c r="C1951" t="s">
        <v>3870</v>
      </c>
      <c r="D1951" t="s">
        <v>3868</v>
      </c>
    </row>
    <row r="1952" spans="1:4" x14ac:dyDescent="0.25">
      <c r="A1952" t="s">
        <v>3871</v>
      </c>
      <c r="B1952" t="s">
        <v>1454</v>
      </c>
      <c r="C1952" t="s">
        <v>3872</v>
      </c>
      <c r="D1952" t="s">
        <v>3868</v>
      </c>
    </row>
    <row r="1953" spans="1:4" x14ac:dyDescent="0.25">
      <c r="A1953" t="s">
        <v>3873</v>
      </c>
      <c r="B1953" t="s">
        <v>1454</v>
      </c>
      <c r="C1953" t="s">
        <v>3874</v>
      </c>
      <c r="D1953" t="s">
        <v>3868</v>
      </c>
    </row>
    <row r="1954" spans="1:4" x14ac:dyDescent="0.25">
      <c r="A1954" t="s">
        <v>3875</v>
      </c>
      <c r="B1954" t="s">
        <v>1454</v>
      </c>
      <c r="C1954" t="s">
        <v>3876</v>
      </c>
      <c r="D1954" t="s">
        <v>3868</v>
      </c>
    </row>
    <row r="1955" spans="1:4" x14ac:dyDescent="0.25">
      <c r="A1955" t="s">
        <v>3877</v>
      </c>
      <c r="B1955" t="s">
        <v>1454</v>
      </c>
      <c r="C1955" t="s">
        <v>3878</v>
      </c>
      <c r="D1955" t="s">
        <v>3868</v>
      </c>
    </row>
    <row r="1956" spans="1:4" x14ac:dyDescent="0.25">
      <c r="A1956" t="s">
        <v>3879</v>
      </c>
      <c r="B1956" t="s">
        <v>1454</v>
      </c>
      <c r="C1956" t="s">
        <v>3880</v>
      </c>
      <c r="D1956" t="s">
        <v>3868</v>
      </c>
    </row>
    <row r="1957" spans="1:4" x14ac:dyDescent="0.25">
      <c r="A1957" t="s">
        <v>3881</v>
      </c>
      <c r="B1957" t="s">
        <v>1454</v>
      </c>
      <c r="C1957" t="s">
        <v>3882</v>
      </c>
      <c r="D1957" t="s">
        <v>3868</v>
      </c>
    </row>
    <row r="1958" spans="1:4" x14ac:dyDescent="0.25">
      <c r="A1958" t="s">
        <v>3883</v>
      </c>
      <c r="B1958" t="s">
        <v>1454</v>
      </c>
      <c r="C1958" t="s">
        <v>3884</v>
      </c>
      <c r="D1958" t="s">
        <v>3868</v>
      </c>
    </row>
    <row r="1959" spans="1:4" x14ac:dyDescent="0.25">
      <c r="A1959" t="s">
        <v>3885</v>
      </c>
      <c r="B1959" t="s">
        <v>1454</v>
      </c>
      <c r="C1959" t="s">
        <v>3886</v>
      </c>
      <c r="D1959" t="s">
        <v>106</v>
      </c>
    </row>
    <row r="1960" spans="1:4" x14ac:dyDescent="0.25">
      <c r="A1960" t="s">
        <v>3887</v>
      </c>
      <c r="B1960" t="s">
        <v>1454</v>
      </c>
      <c r="C1960" t="s">
        <v>3888</v>
      </c>
      <c r="D1960" t="s">
        <v>106</v>
      </c>
    </row>
    <row r="1961" spans="1:4" x14ac:dyDescent="0.25">
      <c r="A1961" t="s">
        <v>3889</v>
      </c>
      <c r="B1961" t="s">
        <v>1454</v>
      </c>
      <c r="C1961" t="s">
        <v>3890</v>
      </c>
      <c r="D1961" t="s">
        <v>106</v>
      </c>
    </row>
    <row r="1962" spans="1:4" x14ac:dyDescent="0.25">
      <c r="A1962" t="s">
        <v>3891</v>
      </c>
      <c r="B1962" t="s">
        <v>1454</v>
      </c>
      <c r="C1962" t="s">
        <v>3892</v>
      </c>
      <c r="D1962" t="s">
        <v>106</v>
      </c>
    </row>
    <row r="1963" spans="1:4" x14ac:dyDescent="0.25">
      <c r="A1963" t="s">
        <v>3893</v>
      </c>
      <c r="B1963" t="s">
        <v>1454</v>
      </c>
      <c r="C1963" t="s">
        <v>3894</v>
      </c>
      <c r="D1963" t="s">
        <v>106</v>
      </c>
    </row>
    <row r="1964" spans="1:4" x14ac:dyDescent="0.25">
      <c r="A1964" t="s">
        <v>3895</v>
      </c>
      <c r="B1964" t="s">
        <v>1454</v>
      </c>
      <c r="C1964" t="s">
        <v>3896</v>
      </c>
      <c r="D1964" t="s">
        <v>106</v>
      </c>
    </row>
    <row r="1965" spans="1:4" x14ac:dyDescent="0.25">
      <c r="A1965" t="s">
        <v>3897</v>
      </c>
      <c r="B1965" t="s">
        <v>1454</v>
      </c>
      <c r="C1965" t="s">
        <v>3898</v>
      </c>
      <c r="D1965" t="s">
        <v>16</v>
      </c>
    </row>
    <row r="1966" spans="1:4" x14ac:dyDescent="0.25">
      <c r="A1966" t="s">
        <v>3899</v>
      </c>
      <c r="B1966" t="s">
        <v>1454</v>
      </c>
      <c r="C1966" t="s">
        <v>3900</v>
      </c>
      <c r="D1966" t="s">
        <v>16</v>
      </c>
    </row>
    <row r="1967" spans="1:4" x14ac:dyDescent="0.25">
      <c r="A1967" t="s">
        <v>3901</v>
      </c>
      <c r="B1967" t="s">
        <v>1454</v>
      </c>
      <c r="C1967" t="s">
        <v>3902</v>
      </c>
      <c r="D1967" t="s">
        <v>16</v>
      </c>
    </row>
    <row r="1968" spans="1:4" x14ac:dyDescent="0.25">
      <c r="A1968" t="s">
        <v>3903</v>
      </c>
      <c r="B1968" t="s">
        <v>1454</v>
      </c>
      <c r="C1968" t="s">
        <v>3904</v>
      </c>
      <c r="D1968" t="s">
        <v>106</v>
      </c>
    </row>
    <row r="1969" spans="1:4" x14ac:dyDescent="0.25">
      <c r="A1969" t="s">
        <v>3905</v>
      </c>
      <c r="B1969" t="s">
        <v>1454</v>
      </c>
      <c r="C1969" t="s">
        <v>3906</v>
      </c>
      <c r="D1969" t="s">
        <v>106</v>
      </c>
    </row>
    <row r="1970" spans="1:4" x14ac:dyDescent="0.25">
      <c r="A1970" t="s">
        <v>3907</v>
      </c>
      <c r="B1970" t="s">
        <v>1454</v>
      </c>
      <c r="C1970" t="s">
        <v>3908</v>
      </c>
      <c r="D1970" t="s">
        <v>16</v>
      </c>
    </row>
    <row r="1971" spans="1:4" x14ac:dyDescent="0.25">
      <c r="A1971" t="s">
        <v>3909</v>
      </c>
      <c r="B1971" t="s">
        <v>1454</v>
      </c>
      <c r="C1971" t="s">
        <v>3910</v>
      </c>
      <c r="D1971" t="s">
        <v>16</v>
      </c>
    </row>
    <row r="1972" spans="1:4" x14ac:dyDescent="0.25">
      <c r="A1972" t="s">
        <v>3911</v>
      </c>
      <c r="B1972" t="s">
        <v>1454</v>
      </c>
      <c r="C1972" t="s">
        <v>3912</v>
      </c>
      <c r="D1972" t="s">
        <v>16</v>
      </c>
    </row>
    <row r="1973" spans="1:4" x14ac:dyDescent="0.25">
      <c r="A1973" t="s">
        <v>3913</v>
      </c>
      <c r="B1973" t="s">
        <v>1454</v>
      </c>
      <c r="C1973" t="s">
        <v>3914</v>
      </c>
      <c r="D1973" t="s">
        <v>16</v>
      </c>
    </row>
    <row r="1974" spans="1:4" x14ac:dyDescent="0.25">
      <c r="A1974" t="s">
        <v>3915</v>
      </c>
      <c r="B1974" t="s">
        <v>1454</v>
      </c>
      <c r="C1974" t="s">
        <v>3916</v>
      </c>
      <c r="D1974" t="s">
        <v>16</v>
      </c>
    </row>
    <row r="1975" spans="1:4" x14ac:dyDescent="0.25">
      <c r="A1975" t="s">
        <v>3917</v>
      </c>
      <c r="B1975" t="s">
        <v>1454</v>
      </c>
      <c r="C1975" t="s">
        <v>3918</v>
      </c>
      <c r="D1975" t="s">
        <v>16</v>
      </c>
    </row>
    <row r="1976" spans="1:4" x14ac:dyDescent="0.25">
      <c r="A1976" t="s">
        <v>3919</v>
      </c>
      <c r="B1976" t="s">
        <v>1454</v>
      </c>
      <c r="C1976" t="s">
        <v>3920</v>
      </c>
      <c r="D1976" t="s">
        <v>106</v>
      </c>
    </row>
    <row r="1977" spans="1:4" x14ac:dyDescent="0.25">
      <c r="A1977" t="s">
        <v>3921</v>
      </c>
      <c r="B1977" t="s">
        <v>1454</v>
      </c>
      <c r="C1977" t="s">
        <v>3922</v>
      </c>
      <c r="D1977" t="s">
        <v>106</v>
      </c>
    </row>
    <row r="1978" spans="1:4" x14ac:dyDescent="0.25">
      <c r="A1978" t="s">
        <v>3923</v>
      </c>
      <c r="B1978" t="s">
        <v>1454</v>
      </c>
      <c r="C1978" t="s">
        <v>3924</v>
      </c>
      <c r="D1978" t="s">
        <v>106</v>
      </c>
    </row>
    <row r="1979" spans="1:4" x14ac:dyDescent="0.25">
      <c r="A1979" t="s">
        <v>3925</v>
      </c>
      <c r="B1979" t="s">
        <v>1454</v>
      </c>
      <c r="C1979" t="s">
        <v>3926</v>
      </c>
      <c r="D1979" t="s">
        <v>106</v>
      </c>
    </row>
    <row r="1980" spans="1:4" x14ac:dyDescent="0.25">
      <c r="A1980" t="s">
        <v>3927</v>
      </c>
      <c r="B1980" t="s">
        <v>1454</v>
      </c>
      <c r="C1980" t="s">
        <v>3928</v>
      </c>
      <c r="D1980" t="s">
        <v>8</v>
      </c>
    </row>
    <row r="1981" spans="1:4" x14ac:dyDescent="0.25">
      <c r="A1981" t="s">
        <v>3929</v>
      </c>
      <c r="B1981" t="s">
        <v>1454</v>
      </c>
      <c r="C1981" t="s">
        <v>3930</v>
      </c>
      <c r="D1981" t="s">
        <v>7</v>
      </c>
    </row>
    <row r="1982" spans="1:4" x14ac:dyDescent="0.25">
      <c r="A1982" t="s">
        <v>3931</v>
      </c>
      <c r="B1982" t="s">
        <v>1454</v>
      </c>
      <c r="C1982" t="s">
        <v>3932</v>
      </c>
      <c r="D1982" t="s">
        <v>106</v>
      </c>
    </row>
    <row r="1983" spans="1:4" x14ac:dyDescent="0.25">
      <c r="A1983" t="s">
        <v>3933</v>
      </c>
      <c r="B1983" t="s">
        <v>1454</v>
      </c>
      <c r="C1983" t="s">
        <v>3934</v>
      </c>
      <c r="D1983" t="s">
        <v>7</v>
      </c>
    </row>
    <row r="1984" spans="1:4" x14ac:dyDescent="0.25">
      <c r="A1984" t="s">
        <v>3935</v>
      </c>
      <c r="B1984" t="s">
        <v>1454</v>
      </c>
      <c r="C1984" t="s">
        <v>3936</v>
      </c>
      <c r="D1984" t="s">
        <v>7</v>
      </c>
    </row>
    <row r="1985" spans="1:4" x14ac:dyDescent="0.25">
      <c r="A1985" t="s">
        <v>3937</v>
      </c>
      <c r="B1985" t="s">
        <v>1454</v>
      </c>
      <c r="C1985" t="s">
        <v>3938</v>
      </c>
      <c r="D1985" t="s">
        <v>7</v>
      </c>
    </row>
    <row r="1986" spans="1:4" x14ac:dyDescent="0.25">
      <c r="A1986" t="s">
        <v>3939</v>
      </c>
      <c r="B1986" t="s">
        <v>1454</v>
      </c>
      <c r="C1986" t="s">
        <v>3940</v>
      </c>
      <c r="D1986" t="s">
        <v>16</v>
      </c>
    </row>
    <row r="1987" spans="1:4" x14ac:dyDescent="0.25">
      <c r="A1987" t="s">
        <v>3941</v>
      </c>
      <c r="B1987" t="s">
        <v>1454</v>
      </c>
      <c r="C1987" t="s">
        <v>3942</v>
      </c>
      <c r="D1987" t="s">
        <v>106</v>
      </c>
    </row>
    <row r="1988" spans="1:4" x14ac:dyDescent="0.25">
      <c r="A1988" t="s">
        <v>3943</v>
      </c>
      <c r="B1988" t="s">
        <v>1454</v>
      </c>
      <c r="C1988" t="s">
        <v>3944</v>
      </c>
      <c r="D1988" t="s">
        <v>106</v>
      </c>
    </row>
    <row r="1989" spans="1:4" x14ac:dyDescent="0.25">
      <c r="A1989" t="s">
        <v>3945</v>
      </c>
      <c r="B1989" t="s">
        <v>1454</v>
      </c>
      <c r="C1989" t="s">
        <v>3946</v>
      </c>
      <c r="D1989" t="s">
        <v>106</v>
      </c>
    </row>
    <row r="1990" spans="1:4" x14ac:dyDescent="0.25">
      <c r="A1990" t="s">
        <v>3947</v>
      </c>
      <c r="B1990" t="s">
        <v>1454</v>
      </c>
      <c r="C1990" t="s">
        <v>3948</v>
      </c>
      <c r="D1990" t="s">
        <v>8</v>
      </c>
    </row>
    <row r="1991" spans="1:4" x14ac:dyDescent="0.25">
      <c r="A1991" t="s">
        <v>3949</v>
      </c>
      <c r="B1991" t="s">
        <v>1454</v>
      </c>
      <c r="C1991" t="s">
        <v>3950</v>
      </c>
      <c r="D1991" t="s">
        <v>8</v>
      </c>
    </row>
    <row r="1992" spans="1:4" x14ac:dyDescent="0.25">
      <c r="A1992" t="s">
        <v>3951</v>
      </c>
      <c r="B1992" t="s">
        <v>1454</v>
      </c>
      <c r="C1992" t="s">
        <v>3952</v>
      </c>
      <c r="D1992" t="s">
        <v>3633</v>
      </c>
    </row>
    <row r="1993" spans="1:4" x14ac:dyDescent="0.25">
      <c r="A1993" t="s">
        <v>3953</v>
      </c>
      <c r="B1993" t="s">
        <v>1454</v>
      </c>
      <c r="C1993" t="s">
        <v>3954</v>
      </c>
      <c r="D1993" t="s">
        <v>3868</v>
      </c>
    </row>
    <row r="1994" spans="1:4" x14ac:dyDescent="0.25">
      <c r="A1994" t="s">
        <v>3955</v>
      </c>
      <c r="B1994" t="s">
        <v>1454</v>
      </c>
      <c r="C1994" t="s">
        <v>3956</v>
      </c>
      <c r="D1994" t="s">
        <v>8</v>
      </c>
    </row>
    <row r="1995" spans="1:4" x14ac:dyDescent="0.25">
      <c r="A1995" t="s">
        <v>3957</v>
      </c>
      <c r="B1995" t="s">
        <v>1454</v>
      </c>
      <c r="C1995" t="s">
        <v>3958</v>
      </c>
      <c r="D1995" t="s">
        <v>106</v>
      </c>
    </row>
    <row r="1996" spans="1:4" x14ac:dyDescent="0.25">
      <c r="A1996" t="s">
        <v>3959</v>
      </c>
      <c r="B1996" t="s">
        <v>1454</v>
      </c>
      <c r="C1996" t="s">
        <v>3960</v>
      </c>
      <c r="D1996" t="s">
        <v>106</v>
      </c>
    </row>
    <row r="1997" spans="1:4" x14ac:dyDescent="0.25">
      <c r="A1997" t="s">
        <v>3961</v>
      </c>
      <c r="B1997" t="s">
        <v>1454</v>
      </c>
      <c r="C1997" t="s">
        <v>3962</v>
      </c>
      <c r="D1997" t="s">
        <v>3633</v>
      </c>
    </row>
    <row r="1998" spans="1:4" x14ac:dyDescent="0.25">
      <c r="A1998" t="s">
        <v>3963</v>
      </c>
      <c r="B1998" t="s">
        <v>1454</v>
      </c>
      <c r="C1998" t="s">
        <v>3964</v>
      </c>
      <c r="D1998" t="s">
        <v>3868</v>
      </c>
    </row>
    <row r="1999" spans="1:4" x14ac:dyDescent="0.25">
      <c r="A1999" t="s">
        <v>3965</v>
      </c>
      <c r="B1999" t="s">
        <v>1454</v>
      </c>
      <c r="C1999" t="s">
        <v>3966</v>
      </c>
      <c r="D1999" t="s">
        <v>3868</v>
      </c>
    </row>
    <row r="2000" spans="1:4" x14ac:dyDescent="0.25">
      <c r="A2000" t="s">
        <v>3967</v>
      </c>
      <c r="B2000" t="s">
        <v>1454</v>
      </c>
      <c r="C2000" t="s">
        <v>3968</v>
      </c>
      <c r="D2000" t="s">
        <v>7</v>
      </c>
    </row>
    <row r="2001" spans="1:4" x14ac:dyDescent="0.25">
      <c r="A2001" t="s">
        <v>3969</v>
      </c>
      <c r="B2001" t="s">
        <v>1454</v>
      </c>
      <c r="C2001" t="s">
        <v>3970</v>
      </c>
      <c r="D2001" t="s">
        <v>7</v>
      </c>
    </row>
    <row r="2002" spans="1:4" x14ac:dyDescent="0.25">
      <c r="A2002" t="s">
        <v>3971</v>
      </c>
      <c r="B2002" t="s">
        <v>1454</v>
      </c>
      <c r="C2002" t="s">
        <v>3972</v>
      </c>
      <c r="D2002" t="s">
        <v>7</v>
      </c>
    </row>
    <row r="2003" spans="1:4" x14ac:dyDescent="0.25">
      <c r="A2003" t="s">
        <v>3973</v>
      </c>
      <c r="B2003" t="s">
        <v>1454</v>
      </c>
      <c r="C2003" t="s">
        <v>3974</v>
      </c>
      <c r="D2003" t="s">
        <v>7</v>
      </c>
    </row>
    <row r="2004" spans="1:4" x14ac:dyDescent="0.25">
      <c r="A2004" t="s">
        <v>3975</v>
      </c>
      <c r="B2004" t="s">
        <v>1454</v>
      </c>
      <c r="C2004" t="s">
        <v>3976</v>
      </c>
      <c r="D2004" t="s">
        <v>106</v>
      </c>
    </row>
    <row r="2005" spans="1:4" x14ac:dyDescent="0.25">
      <c r="A2005" t="s">
        <v>3977</v>
      </c>
      <c r="B2005" t="s">
        <v>1454</v>
      </c>
      <c r="C2005" t="s">
        <v>3978</v>
      </c>
      <c r="D2005" t="s">
        <v>7</v>
      </c>
    </row>
    <row r="2006" spans="1:4" x14ac:dyDescent="0.25">
      <c r="A2006" t="s">
        <v>3979</v>
      </c>
      <c r="B2006" t="s">
        <v>1454</v>
      </c>
      <c r="C2006" t="s">
        <v>3980</v>
      </c>
      <c r="D2006" t="s">
        <v>16</v>
      </c>
    </row>
    <row r="2007" spans="1:4" x14ac:dyDescent="0.25">
      <c r="A2007" t="s">
        <v>3981</v>
      </c>
      <c r="B2007" t="s">
        <v>1454</v>
      </c>
      <c r="C2007" t="s">
        <v>3982</v>
      </c>
      <c r="D2007" t="s">
        <v>65</v>
      </c>
    </row>
    <row r="2008" spans="1:4" x14ac:dyDescent="0.25">
      <c r="A2008" t="s">
        <v>3983</v>
      </c>
      <c r="B2008" t="s">
        <v>1454</v>
      </c>
      <c r="C2008" t="s">
        <v>3984</v>
      </c>
      <c r="D2008" t="s">
        <v>7</v>
      </c>
    </row>
    <row r="2009" spans="1:4" x14ac:dyDescent="0.25">
      <c r="A2009" t="s">
        <v>3985</v>
      </c>
      <c r="B2009" t="s">
        <v>1454</v>
      </c>
      <c r="C2009" t="s">
        <v>3986</v>
      </c>
      <c r="D2009" t="s">
        <v>7</v>
      </c>
    </row>
    <row r="2010" spans="1:4" x14ac:dyDescent="0.25">
      <c r="A2010" t="s">
        <v>3987</v>
      </c>
      <c r="B2010" t="s">
        <v>1454</v>
      </c>
      <c r="C2010" t="s">
        <v>3988</v>
      </c>
      <c r="D2010" t="s">
        <v>7</v>
      </c>
    </row>
    <row r="2011" spans="1:4" x14ac:dyDescent="0.25">
      <c r="A2011" t="s">
        <v>3989</v>
      </c>
      <c r="B2011" t="s">
        <v>1454</v>
      </c>
      <c r="C2011" t="s">
        <v>3990</v>
      </c>
      <c r="D2011" t="s">
        <v>7</v>
      </c>
    </row>
    <row r="2012" spans="1:4" x14ac:dyDescent="0.25">
      <c r="A2012" t="s">
        <v>3991</v>
      </c>
      <c r="B2012" t="s">
        <v>1454</v>
      </c>
      <c r="C2012" t="s">
        <v>3992</v>
      </c>
      <c r="D2012" t="s">
        <v>7</v>
      </c>
    </row>
    <row r="2013" spans="1:4" x14ac:dyDescent="0.25">
      <c r="A2013" t="s">
        <v>3993</v>
      </c>
      <c r="B2013" t="s">
        <v>1454</v>
      </c>
      <c r="C2013" t="s">
        <v>3994</v>
      </c>
      <c r="D2013" t="s">
        <v>7</v>
      </c>
    </row>
    <row r="2014" spans="1:4" x14ac:dyDescent="0.25">
      <c r="A2014" t="s">
        <v>3995</v>
      </c>
      <c r="B2014" t="s">
        <v>1454</v>
      </c>
      <c r="C2014" t="s">
        <v>3996</v>
      </c>
      <c r="D2014" t="s">
        <v>7</v>
      </c>
    </row>
    <row r="2015" spans="1:4" x14ac:dyDescent="0.25">
      <c r="A2015" t="s">
        <v>3997</v>
      </c>
      <c r="B2015" t="s">
        <v>1454</v>
      </c>
      <c r="C2015" t="s">
        <v>3998</v>
      </c>
      <c r="D2015" t="s">
        <v>7</v>
      </c>
    </row>
    <row r="2016" spans="1:4" x14ac:dyDescent="0.25">
      <c r="A2016" t="s">
        <v>3999</v>
      </c>
      <c r="B2016" t="s">
        <v>1454</v>
      </c>
      <c r="C2016" t="s">
        <v>4000</v>
      </c>
      <c r="D2016" t="s">
        <v>7</v>
      </c>
    </row>
    <row r="2017" spans="1:4" x14ac:dyDescent="0.25">
      <c r="A2017" t="s">
        <v>4001</v>
      </c>
      <c r="B2017" t="s">
        <v>1454</v>
      </c>
      <c r="C2017" t="s">
        <v>4002</v>
      </c>
      <c r="D2017" t="s">
        <v>7</v>
      </c>
    </row>
    <row r="2018" spans="1:4" x14ac:dyDescent="0.25">
      <c r="A2018" t="s">
        <v>4003</v>
      </c>
      <c r="B2018" t="s">
        <v>1454</v>
      </c>
      <c r="C2018" t="s">
        <v>4004</v>
      </c>
      <c r="D2018" t="s">
        <v>7</v>
      </c>
    </row>
    <row r="2019" spans="1:4" x14ac:dyDescent="0.25">
      <c r="A2019" t="s">
        <v>4005</v>
      </c>
      <c r="B2019" t="s">
        <v>1454</v>
      </c>
      <c r="C2019" t="s">
        <v>4006</v>
      </c>
      <c r="D2019" t="s">
        <v>7</v>
      </c>
    </row>
    <row r="2020" spans="1:4" x14ac:dyDescent="0.25">
      <c r="A2020" t="s">
        <v>4007</v>
      </c>
      <c r="B2020" t="s">
        <v>1454</v>
      </c>
      <c r="C2020" t="s">
        <v>4008</v>
      </c>
      <c r="D2020" t="s">
        <v>7</v>
      </c>
    </row>
    <row r="2021" spans="1:4" x14ac:dyDescent="0.25">
      <c r="A2021" t="s">
        <v>4009</v>
      </c>
      <c r="B2021" t="s">
        <v>1454</v>
      </c>
      <c r="C2021" t="s">
        <v>4010</v>
      </c>
      <c r="D2021" t="s">
        <v>106</v>
      </c>
    </row>
    <row r="2022" spans="1:4" x14ac:dyDescent="0.25">
      <c r="A2022" t="s">
        <v>4011</v>
      </c>
      <c r="B2022" t="s">
        <v>1454</v>
      </c>
      <c r="C2022" t="s">
        <v>4012</v>
      </c>
      <c r="D2022" t="s">
        <v>106</v>
      </c>
    </row>
    <row r="2023" spans="1:4" x14ac:dyDescent="0.25">
      <c r="A2023" t="s">
        <v>4013</v>
      </c>
      <c r="B2023" t="s">
        <v>1454</v>
      </c>
      <c r="C2023" t="s">
        <v>4014</v>
      </c>
      <c r="D2023" t="s">
        <v>106</v>
      </c>
    </row>
    <row r="2024" spans="1:4" x14ac:dyDescent="0.25">
      <c r="A2024" t="s">
        <v>4015</v>
      </c>
      <c r="B2024" t="s">
        <v>1454</v>
      </c>
      <c r="C2024" t="s">
        <v>4016</v>
      </c>
      <c r="D2024" t="s">
        <v>106</v>
      </c>
    </row>
    <row r="2025" spans="1:4" x14ac:dyDescent="0.25">
      <c r="A2025" t="s">
        <v>4017</v>
      </c>
      <c r="B2025" t="s">
        <v>1454</v>
      </c>
      <c r="C2025" t="s">
        <v>4018</v>
      </c>
      <c r="D2025" t="s">
        <v>16</v>
      </c>
    </row>
    <row r="2026" spans="1:4" x14ac:dyDescent="0.25">
      <c r="A2026" t="s">
        <v>4019</v>
      </c>
      <c r="B2026" t="s">
        <v>1454</v>
      </c>
      <c r="C2026" t="s">
        <v>4020</v>
      </c>
      <c r="D2026" t="s">
        <v>7</v>
      </c>
    </row>
    <row r="2027" spans="1:4" x14ac:dyDescent="0.25">
      <c r="A2027" t="s">
        <v>4021</v>
      </c>
      <c r="B2027" t="s">
        <v>1454</v>
      </c>
      <c r="C2027" t="s">
        <v>4022</v>
      </c>
      <c r="D2027" t="s">
        <v>16</v>
      </c>
    </row>
    <row r="2028" spans="1:4" x14ac:dyDescent="0.25">
      <c r="A2028" t="s">
        <v>4023</v>
      </c>
      <c r="B2028" t="s">
        <v>1454</v>
      </c>
      <c r="C2028" t="s">
        <v>4024</v>
      </c>
      <c r="D2028" t="s">
        <v>16</v>
      </c>
    </row>
    <row r="2029" spans="1:4" x14ac:dyDescent="0.25">
      <c r="A2029" t="s">
        <v>4025</v>
      </c>
      <c r="B2029" t="s">
        <v>1454</v>
      </c>
      <c r="C2029" t="s">
        <v>4026</v>
      </c>
      <c r="D2029" t="s">
        <v>16</v>
      </c>
    </row>
    <row r="2030" spans="1:4" x14ac:dyDescent="0.25">
      <c r="A2030" t="s">
        <v>4027</v>
      </c>
      <c r="B2030" t="s">
        <v>1454</v>
      </c>
      <c r="C2030" t="s">
        <v>4028</v>
      </c>
      <c r="D2030" t="s">
        <v>16</v>
      </c>
    </row>
    <row r="2031" spans="1:4" x14ac:dyDescent="0.25">
      <c r="A2031" t="s">
        <v>4029</v>
      </c>
      <c r="B2031" t="s">
        <v>1454</v>
      </c>
      <c r="C2031" t="s">
        <v>4030</v>
      </c>
      <c r="D2031" t="s">
        <v>106</v>
      </c>
    </row>
    <row r="2032" spans="1:4" x14ac:dyDescent="0.25">
      <c r="A2032" t="s">
        <v>4031</v>
      </c>
      <c r="B2032" t="s">
        <v>1454</v>
      </c>
      <c r="C2032" t="s">
        <v>4032</v>
      </c>
      <c r="D2032" t="s">
        <v>106</v>
      </c>
    </row>
    <row r="2033" spans="1:4" x14ac:dyDescent="0.25">
      <c r="A2033" t="s">
        <v>4033</v>
      </c>
      <c r="B2033" t="s">
        <v>1454</v>
      </c>
      <c r="C2033" t="s">
        <v>4034</v>
      </c>
      <c r="D2033" t="s">
        <v>106</v>
      </c>
    </row>
    <row r="2034" spans="1:4" x14ac:dyDescent="0.25">
      <c r="A2034" t="s">
        <v>4035</v>
      </c>
      <c r="B2034" t="s">
        <v>1454</v>
      </c>
      <c r="C2034" t="s">
        <v>3958</v>
      </c>
      <c r="D2034" t="s">
        <v>106</v>
      </c>
    </row>
    <row r="2035" spans="1:4" x14ac:dyDescent="0.25">
      <c r="A2035" t="s">
        <v>4036</v>
      </c>
      <c r="B2035" t="s">
        <v>1454</v>
      </c>
      <c r="C2035" t="s">
        <v>3960</v>
      </c>
      <c r="D2035" t="s">
        <v>106</v>
      </c>
    </row>
    <row r="2036" spans="1:4" x14ac:dyDescent="0.25">
      <c r="A2036" t="s">
        <v>4037</v>
      </c>
      <c r="B2036" t="s">
        <v>1454</v>
      </c>
      <c r="C2036" t="s">
        <v>4038</v>
      </c>
      <c r="D2036" t="s">
        <v>4039</v>
      </c>
    </row>
    <row r="2037" spans="1:4" x14ac:dyDescent="0.25">
      <c r="A2037" t="s">
        <v>4040</v>
      </c>
      <c r="B2037" t="s">
        <v>1454</v>
      </c>
      <c r="C2037" t="s">
        <v>4041</v>
      </c>
      <c r="D2037" t="s">
        <v>16</v>
      </c>
    </row>
    <row r="2038" spans="1:4" x14ac:dyDescent="0.25">
      <c r="A2038" t="s">
        <v>4042</v>
      </c>
      <c r="B2038" t="s">
        <v>1454</v>
      </c>
      <c r="C2038" t="s">
        <v>4043</v>
      </c>
      <c r="D2038" t="s">
        <v>7</v>
      </c>
    </row>
    <row r="2039" spans="1:4" x14ac:dyDescent="0.25">
      <c r="A2039" t="s">
        <v>4044</v>
      </c>
      <c r="B2039" t="s">
        <v>1454</v>
      </c>
      <c r="C2039" t="s">
        <v>4045</v>
      </c>
      <c r="D2039" t="s">
        <v>7</v>
      </c>
    </row>
    <row r="2040" spans="1:4" x14ac:dyDescent="0.25">
      <c r="A2040" t="s">
        <v>4046</v>
      </c>
      <c r="B2040" t="s">
        <v>1454</v>
      </c>
      <c r="C2040" t="s">
        <v>4047</v>
      </c>
      <c r="D2040" t="s">
        <v>7</v>
      </c>
    </row>
    <row r="2041" spans="1:4" x14ac:dyDescent="0.25">
      <c r="A2041" t="s">
        <v>4048</v>
      </c>
      <c r="B2041" t="s">
        <v>1454</v>
      </c>
      <c r="C2041" t="s">
        <v>4049</v>
      </c>
      <c r="D2041" t="s">
        <v>65</v>
      </c>
    </row>
    <row r="2042" spans="1:4" x14ac:dyDescent="0.25">
      <c r="A2042" t="s">
        <v>4050</v>
      </c>
      <c r="B2042" t="s">
        <v>1454</v>
      </c>
      <c r="C2042" t="s">
        <v>4051</v>
      </c>
      <c r="D2042" t="s">
        <v>7</v>
      </c>
    </row>
    <row r="2043" spans="1:4" x14ac:dyDescent="0.25">
      <c r="A2043" t="s">
        <v>4052</v>
      </c>
      <c r="B2043" t="s">
        <v>1454</v>
      </c>
      <c r="C2043" t="s">
        <v>4053</v>
      </c>
      <c r="D2043" t="s">
        <v>7</v>
      </c>
    </row>
    <row r="2044" spans="1:4" x14ac:dyDescent="0.25">
      <c r="A2044" t="s">
        <v>4054</v>
      </c>
      <c r="B2044" t="s">
        <v>1454</v>
      </c>
      <c r="C2044" t="s">
        <v>4055</v>
      </c>
      <c r="D2044" t="s">
        <v>7</v>
      </c>
    </row>
    <row r="2045" spans="1:4" x14ac:dyDescent="0.25">
      <c r="A2045" t="s">
        <v>4056</v>
      </c>
      <c r="B2045" t="s">
        <v>1454</v>
      </c>
      <c r="C2045" t="s">
        <v>4057</v>
      </c>
      <c r="D2045" t="s">
        <v>7</v>
      </c>
    </row>
    <row r="2046" spans="1:4" x14ac:dyDescent="0.25">
      <c r="A2046" t="s">
        <v>4058</v>
      </c>
      <c r="B2046" t="s">
        <v>1454</v>
      </c>
      <c r="C2046" t="s">
        <v>4059</v>
      </c>
      <c r="D2046" t="s">
        <v>7</v>
      </c>
    </row>
    <row r="2047" spans="1:4" x14ac:dyDescent="0.25">
      <c r="A2047" t="s">
        <v>4060</v>
      </c>
      <c r="B2047" t="s">
        <v>1454</v>
      </c>
      <c r="C2047" t="s">
        <v>4061</v>
      </c>
      <c r="D2047" t="s">
        <v>7</v>
      </c>
    </row>
    <row r="2048" spans="1:4" x14ac:dyDescent="0.25">
      <c r="A2048" t="s">
        <v>4062</v>
      </c>
      <c r="B2048" t="s">
        <v>1454</v>
      </c>
      <c r="C2048" t="s">
        <v>4063</v>
      </c>
      <c r="D2048" t="s">
        <v>7</v>
      </c>
    </row>
    <row r="2049" spans="1:4" x14ac:dyDescent="0.25">
      <c r="A2049" t="s">
        <v>4064</v>
      </c>
      <c r="B2049" t="s">
        <v>1454</v>
      </c>
      <c r="C2049" t="s">
        <v>4065</v>
      </c>
      <c r="D2049" t="s">
        <v>16</v>
      </c>
    </row>
    <row r="2050" spans="1:4" x14ac:dyDescent="0.25">
      <c r="A2050" t="s">
        <v>4066</v>
      </c>
      <c r="B2050" t="s">
        <v>1454</v>
      </c>
      <c r="C2050" t="s">
        <v>4067</v>
      </c>
      <c r="D2050" t="s">
        <v>16</v>
      </c>
    </row>
    <row r="2051" spans="1:4" x14ac:dyDescent="0.25">
      <c r="A2051" t="s">
        <v>4068</v>
      </c>
      <c r="B2051" t="s">
        <v>1454</v>
      </c>
      <c r="C2051" t="s">
        <v>4069</v>
      </c>
      <c r="D2051" t="s">
        <v>16</v>
      </c>
    </row>
    <row r="2052" spans="1:4" x14ac:dyDescent="0.25">
      <c r="A2052" t="s">
        <v>4070</v>
      </c>
      <c r="B2052" t="s">
        <v>1454</v>
      </c>
      <c r="C2052" t="s">
        <v>4071</v>
      </c>
      <c r="D2052" t="s">
        <v>106</v>
      </c>
    </row>
    <row r="2053" spans="1:4" x14ac:dyDescent="0.25">
      <c r="A2053" t="s">
        <v>4072</v>
      </c>
      <c r="B2053" t="s">
        <v>1454</v>
      </c>
      <c r="C2053" t="s">
        <v>4073</v>
      </c>
      <c r="D2053" t="s">
        <v>106</v>
      </c>
    </row>
    <row r="2054" spans="1:4" x14ac:dyDescent="0.25">
      <c r="A2054" t="s">
        <v>4074</v>
      </c>
      <c r="B2054" t="s">
        <v>1454</v>
      </c>
      <c r="C2054" t="s">
        <v>4075</v>
      </c>
      <c r="D2054" t="s">
        <v>106</v>
      </c>
    </row>
    <row r="2055" spans="1:4" x14ac:dyDescent="0.25">
      <c r="A2055" t="s">
        <v>4076</v>
      </c>
      <c r="B2055" t="s">
        <v>1454</v>
      </c>
      <c r="C2055" t="s">
        <v>4077</v>
      </c>
      <c r="D2055" t="s">
        <v>106</v>
      </c>
    </row>
    <row r="2056" spans="1:4" x14ac:dyDescent="0.25">
      <c r="A2056" t="s">
        <v>4078</v>
      </c>
      <c r="B2056" t="s">
        <v>1454</v>
      </c>
      <c r="C2056" t="s">
        <v>4079</v>
      </c>
      <c r="D2056" t="s">
        <v>106</v>
      </c>
    </row>
    <row r="2057" spans="1:4" x14ac:dyDescent="0.25">
      <c r="A2057" t="s">
        <v>4080</v>
      </c>
      <c r="B2057" t="s">
        <v>1454</v>
      </c>
      <c r="C2057" t="s">
        <v>4081</v>
      </c>
      <c r="D2057" t="s">
        <v>106</v>
      </c>
    </row>
    <row r="2058" spans="1:4" x14ac:dyDescent="0.25">
      <c r="A2058" t="s">
        <v>4082</v>
      </c>
      <c r="B2058" t="s">
        <v>1454</v>
      </c>
      <c r="C2058" t="s">
        <v>4083</v>
      </c>
      <c r="D2058" t="s">
        <v>106</v>
      </c>
    </row>
    <row r="2059" spans="1:4" x14ac:dyDescent="0.25">
      <c r="A2059" t="s">
        <v>4084</v>
      </c>
      <c r="B2059" t="s">
        <v>1454</v>
      </c>
      <c r="C2059" t="s">
        <v>4085</v>
      </c>
      <c r="D2059" t="s">
        <v>106</v>
      </c>
    </row>
    <row r="2060" spans="1:4" x14ac:dyDescent="0.25">
      <c r="A2060" t="s">
        <v>4086</v>
      </c>
      <c r="B2060" t="s">
        <v>1454</v>
      </c>
      <c r="C2060" t="s">
        <v>4087</v>
      </c>
      <c r="D2060" t="s">
        <v>106</v>
      </c>
    </row>
    <row r="2061" spans="1:4" x14ac:dyDescent="0.25">
      <c r="A2061" t="s">
        <v>4088</v>
      </c>
      <c r="B2061" t="s">
        <v>1454</v>
      </c>
      <c r="C2061" t="s">
        <v>4089</v>
      </c>
      <c r="D2061" t="s">
        <v>16</v>
      </c>
    </row>
    <row r="2062" spans="1:4" x14ac:dyDescent="0.25">
      <c r="A2062" t="s">
        <v>4090</v>
      </c>
      <c r="B2062" t="s">
        <v>1454</v>
      </c>
      <c r="C2062" t="s">
        <v>4091</v>
      </c>
      <c r="D2062" t="s">
        <v>106</v>
      </c>
    </row>
    <row r="2063" spans="1:4" x14ac:dyDescent="0.25">
      <c r="A2063" t="s">
        <v>4092</v>
      </c>
      <c r="B2063" t="s">
        <v>1454</v>
      </c>
      <c r="C2063" t="s">
        <v>4093</v>
      </c>
      <c r="D2063" t="s">
        <v>106</v>
      </c>
    </row>
    <row r="2064" spans="1:4" x14ac:dyDescent="0.25">
      <c r="A2064" t="s">
        <v>4094</v>
      </c>
      <c r="B2064" t="s">
        <v>1454</v>
      </c>
      <c r="C2064" t="s">
        <v>4095</v>
      </c>
      <c r="D2064" t="s">
        <v>106</v>
      </c>
    </row>
    <row r="2065" spans="1:4" x14ac:dyDescent="0.25">
      <c r="A2065" t="s">
        <v>4096</v>
      </c>
      <c r="B2065" t="s">
        <v>1454</v>
      </c>
      <c r="C2065" t="s">
        <v>4097</v>
      </c>
      <c r="D2065" t="s">
        <v>106</v>
      </c>
    </row>
    <row r="2066" spans="1:4" x14ac:dyDescent="0.25">
      <c r="A2066" t="s">
        <v>4098</v>
      </c>
      <c r="B2066" t="s">
        <v>1454</v>
      </c>
      <c r="C2066" t="s">
        <v>4099</v>
      </c>
      <c r="D2066" t="s">
        <v>106</v>
      </c>
    </row>
    <row r="2067" spans="1:4" x14ac:dyDescent="0.25">
      <c r="A2067" t="s">
        <v>4100</v>
      </c>
      <c r="B2067" t="s">
        <v>1454</v>
      </c>
      <c r="C2067" t="s">
        <v>4101</v>
      </c>
      <c r="D2067" t="s">
        <v>8</v>
      </c>
    </row>
    <row r="2068" spans="1:4" x14ac:dyDescent="0.25">
      <c r="A2068" t="s">
        <v>4102</v>
      </c>
      <c r="B2068" t="s">
        <v>1454</v>
      </c>
      <c r="C2068" t="s">
        <v>4103</v>
      </c>
      <c r="D2068" t="s">
        <v>106</v>
      </c>
    </row>
    <row r="2069" spans="1:4" x14ac:dyDescent="0.25">
      <c r="A2069" t="s">
        <v>4104</v>
      </c>
      <c r="B2069" t="s">
        <v>1454</v>
      </c>
      <c r="C2069" t="s">
        <v>4105</v>
      </c>
      <c r="D2069" t="s">
        <v>8</v>
      </c>
    </row>
    <row r="2070" spans="1:4" x14ac:dyDescent="0.25">
      <c r="A2070" t="s">
        <v>4106</v>
      </c>
      <c r="B2070" t="s">
        <v>1454</v>
      </c>
      <c r="C2070" t="s">
        <v>4107</v>
      </c>
      <c r="D2070" t="s">
        <v>106</v>
      </c>
    </row>
    <row r="2071" spans="1:4" x14ac:dyDescent="0.25">
      <c r="A2071" t="s">
        <v>4108</v>
      </c>
      <c r="B2071" t="s">
        <v>1454</v>
      </c>
      <c r="C2071" t="s">
        <v>4109</v>
      </c>
      <c r="D2071" t="s">
        <v>8</v>
      </c>
    </row>
    <row r="2072" spans="1:4" x14ac:dyDescent="0.25">
      <c r="A2072" t="s">
        <v>4110</v>
      </c>
      <c r="B2072" t="s">
        <v>1454</v>
      </c>
      <c r="C2072" t="s">
        <v>4111</v>
      </c>
      <c r="D2072" t="s">
        <v>106</v>
      </c>
    </row>
    <row r="2073" spans="1:4" x14ac:dyDescent="0.25">
      <c r="A2073" t="s">
        <v>4112</v>
      </c>
      <c r="B2073" t="s">
        <v>1454</v>
      </c>
      <c r="C2073" t="s">
        <v>4113</v>
      </c>
      <c r="D2073" t="s">
        <v>8</v>
      </c>
    </row>
    <row r="2074" spans="1:4" x14ac:dyDescent="0.25">
      <c r="A2074" t="s">
        <v>4114</v>
      </c>
      <c r="B2074" t="s">
        <v>1454</v>
      </c>
      <c r="C2074" t="s">
        <v>4115</v>
      </c>
      <c r="D2074" t="s">
        <v>106</v>
      </c>
    </row>
    <row r="2075" spans="1:4" x14ac:dyDescent="0.25">
      <c r="A2075" t="s">
        <v>4116</v>
      </c>
      <c r="B2075" t="s">
        <v>1454</v>
      </c>
      <c r="C2075" t="s">
        <v>4117</v>
      </c>
      <c r="D2075" t="s">
        <v>8</v>
      </c>
    </row>
    <row r="2076" spans="1:4" x14ac:dyDescent="0.25">
      <c r="A2076" t="s">
        <v>4118</v>
      </c>
      <c r="B2076" t="s">
        <v>1454</v>
      </c>
      <c r="C2076" t="s">
        <v>4119</v>
      </c>
      <c r="D2076" t="s">
        <v>106</v>
      </c>
    </row>
    <row r="2077" spans="1:4" x14ac:dyDescent="0.25">
      <c r="A2077" t="s">
        <v>4120</v>
      </c>
      <c r="B2077" t="s">
        <v>1454</v>
      </c>
      <c r="C2077" t="s">
        <v>4121</v>
      </c>
      <c r="D2077" t="s">
        <v>8</v>
      </c>
    </row>
    <row r="2078" spans="1:4" x14ac:dyDescent="0.25">
      <c r="A2078" t="s">
        <v>4122</v>
      </c>
      <c r="B2078" t="s">
        <v>1454</v>
      </c>
      <c r="C2078" t="s">
        <v>4123</v>
      </c>
      <c r="D2078" t="s">
        <v>7</v>
      </c>
    </row>
    <row r="2079" spans="1:4" x14ac:dyDescent="0.25">
      <c r="A2079" t="s">
        <v>4124</v>
      </c>
      <c r="B2079" t="s">
        <v>1454</v>
      </c>
      <c r="C2079" t="s">
        <v>4125</v>
      </c>
      <c r="D2079" t="s">
        <v>7</v>
      </c>
    </row>
    <row r="2080" spans="1:4" x14ac:dyDescent="0.25">
      <c r="A2080" t="s">
        <v>4126</v>
      </c>
      <c r="B2080" t="s">
        <v>1454</v>
      </c>
      <c r="C2080" t="s">
        <v>4127</v>
      </c>
      <c r="D2080" t="s">
        <v>65</v>
      </c>
    </row>
    <row r="2081" spans="1:4" x14ac:dyDescent="0.25">
      <c r="A2081" t="s">
        <v>4128</v>
      </c>
      <c r="B2081" t="s">
        <v>1454</v>
      </c>
      <c r="C2081" t="s">
        <v>4129</v>
      </c>
      <c r="D2081" t="s">
        <v>7</v>
      </c>
    </row>
    <row r="2082" spans="1:4" x14ac:dyDescent="0.25">
      <c r="A2082" t="s">
        <v>4130</v>
      </c>
      <c r="B2082" t="s">
        <v>1454</v>
      </c>
      <c r="C2082" t="s">
        <v>4131</v>
      </c>
      <c r="D2082" t="s">
        <v>7</v>
      </c>
    </row>
    <row r="2083" spans="1:4" x14ac:dyDescent="0.25">
      <c r="A2083" t="s">
        <v>4132</v>
      </c>
      <c r="B2083" t="s">
        <v>1454</v>
      </c>
      <c r="C2083" t="s">
        <v>4133</v>
      </c>
      <c r="D2083" t="s">
        <v>16</v>
      </c>
    </row>
    <row r="2084" spans="1:4" x14ac:dyDescent="0.25">
      <c r="A2084" t="s">
        <v>4134</v>
      </c>
      <c r="B2084" t="s">
        <v>1454</v>
      </c>
      <c r="C2084" t="s">
        <v>4135</v>
      </c>
      <c r="D2084" t="s">
        <v>7</v>
      </c>
    </row>
    <row r="2085" spans="1:4" x14ac:dyDescent="0.25">
      <c r="A2085" t="s">
        <v>4136</v>
      </c>
      <c r="B2085" t="s">
        <v>1454</v>
      </c>
      <c r="C2085" t="s">
        <v>4137</v>
      </c>
      <c r="D2085" t="s">
        <v>16</v>
      </c>
    </row>
    <row r="2086" spans="1:4" x14ac:dyDescent="0.25">
      <c r="A2086" t="s">
        <v>4138</v>
      </c>
      <c r="B2086" t="s">
        <v>1454</v>
      </c>
      <c r="C2086" t="s">
        <v>4139</v>
      </c>
      <c r="D2086" t="s">
        <v>106</v>
      </c>
    </row>
    <row r="2087" spans="1:4" x14ac:dyDescent="0.25">
      <c r="A2087" t="s">
        <v>4140</v>
      </c>
      <c r="B2087" t="s">
        <v>1454</v>
      </c>
      <c r="C2087" t="s">
        <v>4141</v>
      </c>
      <c r="D2087" t="s">
        <v>7</v>
      </c>
    </row>
    <row r="2088" spans="1:4" x14ac:dyDescent="0.25">
      <c r="A2088" t="s">
        <v>4142</v>
      </c>
      <c r="B2088" t="s">
        <v>1454</v>
      </c>
      <c r="C2088" t="s">
        <v>4143</v>
      </c>
      <c r="D2088" t="s">
        <v>106</v>
      </c>
    </row>
    <row r="2089" spans="1:4" x14ac:dyDescent="0.25">
      <c r="A2089" t="s">
        <v>4144</v>
      </c>
      <c r="B2089" t="s">
        <v>1454</v>
      </c>
      <c r="C2089" t="s">
        <v>4145</v>
      </c>
      <c r="D2089" t="s">
        <v>16</v>
      </c>
    </row>
    <row r="2090" spans="1:4" x14ac:dyDescent="0.25">
      <c r="A2090" t="s">
        <v>4146</v>
      </c>
      <c r="B2090" t="s">
        <v>1454</v>
      </c>
      <c r="C2090" t="s">
        <v>4147</v>
      </c>
      <c r="D2090" t="s">
        <v>7</v>
      </c>
    </row>
    <row r="2091" spans="1:4" x14ac:dyDescent="0.25">
      <c r="A2091" t="s">
        <v>4148</v>
      </c>
      <c r="B2091" t="s">
        <v>1454</v>
      </c>
      <c r="C2091" t="s">
        <v>4149</v>
      </c>
      <c r="D2091" t="s">
        <v>106</v>
      </c>
    </row>
    <row r="2092" spans="1:4" x14ac:dyDescent="0.25">
      <c r="A2092" t="s">
        <v>4150</v>
      </c>
      <c r="B2092" t="s">
        <v>1454</v>
      </c>
      <c r="C2092" t="s">
        <v>4151</v>
      </c>
      <c r="D2092" t="s">
        <v>7</v>
      </c>
    </row>
    <row r="2093" spans="1:4" x14ac:dyDescent="0.25">
      <c r="A2093" t="s">
        <v>4152</v>
      </c>
      <c r="B2093" t="s">
        <v>1454</v>
      </c>
      <c r="C2093" t="s">
        <v>4153</v>
      </c>
      <c r="D2093" t="s">
        <v>106</v>
      </c>
    </row>
    <row r="2094" spans="1:4" x14ac:dyDescent="0.25">
      <c r="A2094" t="s">
        <v>4154</v>
      </c>
      <c r="B2094" t="s">
        <v>1454</v>
      </c>
      <c r="C2094" t="s">
        <v>4155</v>
      </c>
      <c r="D2094" t="s">
        <v>7</v>
      </c>
    </row>
    <row r="2095" spans="1:4" x14ac:dyDescent="0.25">
      <c r="A2095" t="s">
        <v>4156</v>
      </c>
      <c r="B2095" t="s">
        <v>1454</v>
      </c>
      <c r="C2095" t="s">
        <v>4157</v>
      </c>
      <c r="D2095" t="s">
        <v>106</v>
      </c>
    </row>
    <row r="2096" spans="1:4" x14ac:dyDescent="0.25">
      <c r="A2096" t="s">
        <v>4158</v>
      </c>
      <c r="B2096" t="s">
        <v>1454</v>
      </c>
      <c r="C2096" t="s">
        <v>4159</v>
      </c>
      <c r="D2096" t="s">
        <v>7</v>
      </c>
    </row>
    <row r="2097" spans="1:4" x14ac:dyDescent="0.25">
      <c r="A2097" t="s">
        <v>4160</v>
      </c>
      <c r="B2097" t="s">
        <v>1454</v>
      </c>
      <c r="C2097" t="s">
        <v>4161</v>
      </c>
      <c r="D2097" t="s">
        <v>7</v>
      </c>
    </row>
    <row r="2098" spans="1:4" x14ac:dyDescent="0.25">
      <c r="A2098" t="s">
        <v>4162</v>
      </c>
      <c r="B2098" t="s">
        <v>1454</v>
      </c>
      <c r="C2098" t="s">
        <v>4163</v>
      </c>
      <c r="D2098" t="s">
        <v>106</v>
      </c>
    </row>
    <row r="2099" spans="1:4" x14ac:dyDescent="0.25">
      <c r="A2099" t="s">
        <v>4164</v>
      </c>
      <c r="B2099" t="s">
        <v>1454</v>
      </c>
      <c r="C2099" t="s">
        <v>4165</v>
      </c>
      <c r="D2099" t="s">
        <v>16</v>
      </c>
    </row>
    <row r="2100" spans="1:4" x14ac:dyDescent="0.25">
      <c r="A2100" t="s">
        <v>4166</v>
      </c>
      <c r="B2100" t="s">
        <v>1454</v>
      </c>
      <c r="C2100" t="s">
        <v>4167</v>
      </c>
      <c r="D2100" t="s">
        <v>7</v>
      </c>
    </row>
    <row r="2101" spans="1:4" x14ac:dyDescent="0.25">
      <c r="A2101" t="s">
        <v>4168</v>
      </c>
      <c r="B2101" t="s">
        <v>1454</v>
      </c>
      <c r="C2101" t="s">
        <v>4169</v>
      </c>
      <c r="D2101" t="s">
        <v>106</v>
      </c>
    </row>
    <row r="2102" spans="1:4" x14ac:dyDescent="0.25">
      <c r="A2102" t="s">
        <v>4170</v>
      </c>
      <c r="B2102" t="s">
        <v>1454</v>
      </c>
      <c r="C2102" t="s">
        <v>4171</v>
      </c>
      <c r="D2102" t="s">
        <v>106</v>
      </c>
    </row>
    <row r="2103" spans="1:4" x14ac:dyDescent="0.25">
      <c r="A2103" t="s">
        <v>4172</v>
      </c>
      <c r="B2103" t="s">
        <v>1454</v>
      </c>
      <c r="C2103" t="s">
        <v>4173</v>
      </c>
      <c r="D2103" t="s">
        <v>106</v>
      </c>
    </row>
    <row r="2104" spans="1:4" x14ac:dyDescent="0.25">
      <c r="A2104" t="s">
        <v>4174</v>
      </c>
      <c r="B2104" t="s">
        <v>1454</v>
      </c>
      <c r="C2104" t="s">
        <v>4175</v>
      </c>
      <c r="D2104" t="s">
        <v>106</v>
      </c>
    </row>
    <row r="2105" spans="1:4" x14ac:dyDescent="0.25">
      <c r="A2105" t="s">
        <v>4176</v>
      </c>
      <c r="B2105" t="s">
        <v>1454</v>
      </c>
      <c r="C2105" t="s">
        <v>4177</v>
      </c>
      <c r="D2105" t="s">
        <v>106</v>
      </c>
    </row>
    <row r="2106" spans="1:4" x14ac:dyDescent="0.25">
      <c r="A2106" t="s">
        <v>4178</v>
      </c>
      <c r="B2106" t="s">
        <v>1454</v>
      </c>
      <c r="C2106" t="s">
        <v>4179</v>
      </c>
      <c r="D2106" t="s">
        <v>106</v>
      </c>
    </row>
    <row r="2107" spans="1:4" x14ac:dyDescent="0.25">
      <c r="A2107" t="s">
        <v>4180</v>
      </c>
      <c r="B2107" t="s">
        <v>1454</v>
      </c>
      <c r="C2107" t="s">
        <v>4181</v>
      </c>
      <c r="D2107" t="s">
        <v>8</v>
      </c>
    </row>
    <row r="2108" spans="1:4" x14ac:dyDescent="0.25">
      <c r="A2108" t="s">
        <v>4182</v>
      </c>
      <c r="B2108" t="s">
        <v>1454</v>
      </c>
      <c r="C2108" t="s">
        <v>4183</v>
      </c>
      <c r="D2108" t="s">
        <v>8</v>
      </c>
    </row>
    <row r="2109" spans="1:4" x14ac:dyDescent="0.25">
      <c r="A2109" t="s">
        <v>4184</v>
      </c>
      <c r="B2109" t="s">
        <v>1454</v>
      </c>
      <c r="C2109" t="s">
        <v>4185</v>
      </c>
      <c r="D2109" t="s">
        <v>106</v>
      </c>
    </row>
    <row r="2110" spans="1:4" x14ac:dyDescent="0.25">
      <c r="A2110" t="s">
        <v>4186</v>
      </c>
      <c r="B2110" t="s">
        <v>1454</v>
      </c>
      <c r="C2110" t="s">
        <v>4187</v>
      </c>
      <c r="D2110" t="s">
        <v>8</v>
      </c>
    </row>
    <row r="2111" spans="1:4" x14ac:dyDescent="0.25">
      <c r="A2111" t="s">
        <v>4188</v>
      </c>
      <c r="B2111" t="s">
        <v>1454</v>
      </c>
      <c r="C2111" t="s">
        <v>4189</v>
      </c>
      <c r="D2111" t="s">
        <v>8</v>
      </c>
    </row>
    <row r="2112" spans="1:4" x14ac:dyDescent="0.25">
      <c r="A2112" t="s">
        <v>4190</v>
      </c>
      <c r="B2112" t="s">
        <v>1454</v>
      </c>
      <c r="C2112" t="s">
        <v>4191</v>
      </c>
      <c r="D2112" t="s">
        <v>106</v>
      </c>
    </row>
    <row r="2113" spans="1:4" x14ac:dyDescent="0.25">
      <c r="A2113" t="s">
        <v>4192</v>
      </c>
      <c r="B2113" t="s">
        <v>1454</v>
      </c>
      <c r="C2113" t="s">
        <v>4193</v>
      </c>
      <c r="D2113" t="s">
        <v>8</v>
      </c>
    </row>
    <row r="2114" spans="1:4" x14ac:dyDescent="0.25">
      <c r="A2114" t="s">
        <v>4194</v>
      </c>
      <c r="B2114" t="s">
        <v>1454</v>
      </c>
      <c r="C2114" t="s">
        <v>4195</v>
      </c>
      <c r="D2114" t="s">
        <v>8</v>
      </c>
    </row>
    <row r="2115" spans="1:4" x14ac:dyDescent="0.25">
      <c r="A2115" t="s">
        <v>4196</v>
      </c>
      <c r="B2115" t="s">
        <v>1454</v>
      </c>
      <c r="C2115" t="s">
        <v>4197</v>
      </c>
      <c r="D2115" t="s">
        <v>106</v>
      </c>
    </row>
    <row r="2116" spans="1:4" x14ac:dyDescent="0.25">
      <c r="A2116" t="s">
        <v>4198</v>
      </c>
      <c r="B2116" t="s">
        <v>1454</v>
      </c>
      <c r="C2116" t="s">
        <v>4199</v>
      </c>
      <c r="D2116" t="s">
        <v>8</v>
      </c>
    </row>
    <row r="2117" spans="1:4" x14ac:dyDescent="0.25">
      <c r="A2117" t="s">
        <v>4200</v>
      </c>
      <c r="B2117" t="s">
        <v>1454</v>
      </c>
      <c r="C2117" t="s">
        <v>4199</v>
      </c>
      <c r="D2117" t="s">
        <v>8</v>
      </c>
    </row>
    <row r="2118" spans="1:4" x14ac:dyDescent="0.25">
      <c r="A2118" t="s">
        <v>4201</v>
      </c>
      <c r="B2118" t="s">
        <v>1454</v>
      </c>
      <c r="C2118" t="s">
        <v>4202</v>
      </c>
      <c r="D2118" t="s">
        <v>8</v>
      </c>
    </row>
    <row r="2120" spans="1:4" x14ac:dyDescent="0.25">
      <c r="A2120" t="s">
        <v>4203</v>
      </c>
      <c r="B2120" t="s">
        <v>33</v>
      </c>
      <c r="C2120" t="s">
        <v>4204</v>
      </c>
      <c r="D2120" t="s">
        <v>106</v>
      </c>
    </row>
    <row r="2121" spans="1:4" x14ac:dyDescent="0.25">
      <c r="A2121" t="s">
        <v>4205</v>
      </c>
      <c r="B2121" t="s">
        <v>33</v>
      </c>
      <c r="C2121" t="s">
        <v>4206</v>
      </c>
      <c r="D2121" t="s">
        <v>106</v>
      </c>
    </row>
    <row r="2122" spans="1:4" x14ac:dyDescent="0.25">
      <c r="A2122" t="s">
        <v>4207</v>
      </c>
      <c r="B2122" t="s">
        <v>33</v>
      </c>
      <c r="C2122" t="s">
        <v>4208</v>
      </c>
      <c r="D2122" t="s">
        <v>106</v>
      </c>
    </row>
    <row r="2123" spans="1:4" x14ac:dyDescent="0.25">
      <c r="A2123" t="s">
        <v>4209</v>
      </c>
      <c r="B2123" t="s">
        <v>33</v>
      </c>
      <c r="C2123" t="s">
        <v>4210</v>
      </c>
      <c r="D2123" t="s">
        <v>106</v>
      </c>
    </row>
    <row r="2124" spans="1:4" x14ac:dyDescent="0.25">
      <c r="A2124" t="s">
        <v>4211</v>
      </c>
      <c r="B2124" t="s">
        <v>33</v>
      </c>
      <c r="C2124" t="s">
        <v>4212</v>
      </c>
      <c r="D2124" t="s">
        <v>106</v>
      </c>
    </row>
    <row r="2125" spans="1:4" x14ac:dyDescent="0.25">
      <c r="A2125" t="s">
        <v>4213</v>
      </c>
      <c r="B2125" t="s">
        <v>33</v>
      </c>
      <c r="C2125" t="s">
        <v>4214</v>
      </c>
      <c r="D2125" t="s">
        <v>106</v>
      </c>
    </row>
    <row r="2126" spans="1:4" x14ac:dyDescent="0.25">
      <c r="A2126" t="s">
        <v>4215</v>
      </c>
      <c r="B2126" t="s">
        <v>33</v>
      </c>
      <c r="C2126" t="s">
        <v>4216</v>
      </c>
      <c r="D2126" t="s">
        <v>106</v>
      </c>
    </row>
    <row r="2127" spans="1:4" x14ac:dyDescent="0.25">
      <c r="A2127" t="s">
        <v>4217</v>
      </c>
      <c r="B2127" t="s">
        <v>33</v>
      </c>
      <c r="C2127" t="s">
        <v>4218</v>
      </c>
      <c r="D2127" t="s">
        <v>106</v>
      </c>
    </row>
    <row r="2128" spans="1:4" x14ac:dyDescent="0.25">
      <c r="A2128" t="s">
        <v>4219</v>
      </c>
      <c r="B2128" t="s">
        <v>33</v>
      </c>
      <c r="C2128" t="s">
        <v>4220</v>
      </c>
      <c r="D2128" t="s">
        <v>106</v>
      </c>
    </row>
    <row r="2129" spans="1:4" x14ac:dyDescent="0.25">
      <c r="A2129" t="s">
        <v>4221</v>
      </c>
      <c r="B2129" t="s">
        <v>33</v>
      </c>
      <c r="C2129" t="s">
        <v>4222</v>
      </c>
      <c r="D2129" t="s">
        <v>106</v>
      </c>
    </row>
    <row r="2130" spans="1:4" x14ac:dyDescent="0.25">
      <c r="A2130" t="s">
        <v>4223</v>
      </c>
      <c r="B2130" t="s">
        <v>33</v>
      </c>
      <c r="C2130" t="s">
        <v>4224</v>
      </c>
      <c r="D2130" t="s">
        <v>106</v>
      </c>
    </row>
    <row r="2131" spans="1:4" x14ac:dyDescent="0.25">
      <c r="A2131" t="s">
        <v>4225</v>
      </c>
      <c r="B2131" t="s">
        <v>33</v>
      </c>
      <c r="C2131" t="s">
        <v>4226</v>
      </c>
      <c r="D2131" t="s">
        <v>106</v>
      </c>
    </row>
    <row r="2132" spans="1:4" x14ac:dyDescent="0.25">
      <c r="A2132" t="s">
        <v>4227</v>
      </c>
      <c r="B2132" t="s">
        <v>33</v>
      </c>
      <c r="C2132" t="s">
        <v>4228</v>
      </c>
      <c r="D2132" t="s">
        <v>106</v>
      </c>
    </row>
    <row r="2133" spans="1:4" x14ac:dyDescent="0.25">
      <c r="A2133" t="s">
        <v>4229</v>
      </c>
      <c r="B2133" t="s">
        <v>33</v>
      </c>
      <c r="C2133" t="s">
        <v>4230</v>
      </c>
      <c r="D2133" t="s">
        <v>106</v>
      </c>
    </row>
    <row r="2134" spans="1:4" x14ac:dyDescent="0.25">
      <c r="A2134" t="s">
        <v>4231</v>
      </c>
      <c r="B2134" t="s">
        <v>33</v>
      </c>
      <c r="C2134" t="s">
        <v>4232</v>
      </c>
      <c r="D2134" t="s">
        <v>106</v>
      </c>
    </row>
    <row r="2135" spans="1:4" x14ac:dyDescent="0.25">
      <c r="A2135" t="s">
        <v>4233</v>
      </c>
      <c r="B2135" t="s">
        <v>33</v>
      </c>
      <c r="C2135" t="s">
        <v>4234</v>
      </c>
      <c r="D2135" t="s">
        <v>106</v>
      </c>
    </row>
    <row r="2136" spans="1:4" x14ac:dyDescent="0.25">
      <c r="A2136" t="s">
        <v>4235</v>
      </c>
      <c r="B2136" t="s">
        <v>33</v>
      </c>
      <c r="C2136" t="s">
        <v>4236</v>
      </c>
      <c r="D2136" t="s">
        <v>106</v>
      </c>
    </row>
    <row r="2137" spans="1:4" x14ac:dyDescent="0.25">
      <c r="A2137" t="s">
        <v>4237</v>
      </c>
      <c r="B2137" t="s">
        <v>33</v>
      </c>
      <c r="C2137" t="s">
        <v>4238</v>
      </c>
      <c r="D2137" t="s">
        <v>106</v>
      </c>
    </row>
    <row r="2138" spans="1:4" x14ac:dyDescent="0.25">
      <c r="A2138" t="s">
        <v>4239</v>
      </c>
      <c r="B2138" t="s">
        <v>33</v>
      </c>
      <c r="C2138" t="s">
        <v>4240</v>
      </c>
      <c r="D2138" t="s">
        <v>106</v>
      </c>
    </row>
    <row r="2139" spans="1:4" x14ac:dyDescent="0.25">
      <c r="A2139" t="s">
        <v>4241</v>
      </c>
      <c r="B2139" t="s">
        <v>33</v>
      </c>
      <c r="C2139" t="s">
        <v>4242</v>
      </c>
      <c r="D2139" t="s">
        <v>106</v>
      </c>
    </row>
    <row r="2140" spans="1:4" x14ac:dyDescent="0.25">
      <c r="A2140" t="s">
        <v>4243</v>
      </c>
      <c r="B2140" t="s">
        <v>33</v>
      </c>
      <c r="C2140" t="s">
        <v>4244</v>
      </c>
      <c r="D2140" t="s">
        <v>106</v>
      </c>
    </row>
    <row r="2141" spans="1:4" x14ac:dyDescent="0.25">
      <c r="A2141" t="s">
        <v>4245</v>
      </c>
      <c r="B2141" t="s">
        <v>33</v>
      </c>
      <c r="C2141" t="s">
        <v>4246</v>
      </c>
      <c r="D2141" t="s">
        <v>106</v>
      </c>
    </row>
    <row r="2142" spans="1:4" x14ac:dyDescent="0.25">
      <c r="A2142" t="s">
        <v>4247</v>
      </c>
      <c r="B2142" t="s">
        <v>33</v>
      </c>
      <c r="C2142" t="s">
        <v>4248</v>
      </c>
      <c r="D2142" t="s">
        <v>106</v>
      </c>
    </row>
    <row r="2143" spans="1:4" x14ac:dyDescent="0.25">
      <c r="A2143" t="s">
        <v>4249</v>
      </c>
      <c r="B2143" t="s">
        <v>33</v>
      </c>
      <c r="C2143" t="s">
        <v>4250</v>
      </c>
      <c r="D2143" t="s">
        <v>106</v>
      </c>
    </row>
    <row r="2144" spans="1:4" x14ac:dyDescent="0.25">
      <c r="A2144" t="s">
        <v>4251</v>
      </c>
      <c r="B2144" t="s">
        <v>33</v>
      </c>
      <c r="C2144" t="s">
        <v>4252</v>
      </c>
      <c r="D2144" t="s">
        <v>106</v>
      </c>
    </row>
    <row r="2145" spans="1:4" x14ac:dyDescent="0.25">
      <c r="A2145" t="s">
        <v>4253</v>
      </c>
      <c r="B2145" t="s">
        <v>33</v>
      </c>
      <c r="C2145" t="s">
        <v>4254</v>
      </c>
      <c r="D2145" t="s">
        <v>106</v>
      </c>
    </row>
    <row r="2146" spans="1:4" x14ac:dyDescent="0.25">
      <c r="A2146" t="s">
        <v>4255</v>
      </c>
      <c r="B2146" t="s">
        <v>33</v>
      </c>
      <c r="C2146" t="s">
        <v>4256</v>
      </c>
      <c r="D2146" t="s">
        <v>106</v>
      </c>
    </row>
    <row r="2147" spans="1:4" x14ac:dyDescent="0.25">
      <c r="A2147" t="s">
        <v>4257</v>
      </c>
      <c r="B2147" t="s">
        <v>33</v>
      </c>
      <c r="C2147" t="s">
        <v>4258</v>
      </c>
      <c r="D2147" t="s">
        <v>106</v>
      </c>
    </row>
    <row r="2148" spans="1:4" x14ac:dyDescent="0.25">
      <c r="A2148" t="s">
        <v>4259</v>
      </c>
      <c r="B2148" t="s">
        <v>33</v>
      </c>
      <c r="C2148" t="s">
        <v>4260</v>
      </c>
      <c r="D2148" t="s">
        <v>106</v>
      </c>
    </row>
    <row r="2149" spans="1:4" x14ac:dyDescent="0.25">
      <c r="A2149" t="s">
        <v>4261</v>
      </c>
      <c r="B2149" t="s">
        <v>33</v>
      </c>
      <c r="C2149" t="s">
        <v>4262</v>
      </c>
      <c r="D2149" t="s">
        <v>106</v>
      </c>
    </row>
    <row r="2150" spans="1:4" x14ac:dyDescent="0.25">
      <c r="A2150" t="s">
        <v>4263</v>
      </c>
      <c r="B2150" t="s">
        <v>33</v>
      </c>
      <c r="C2150" t="s">
        <v>4264</v>
      </c>
      <c r="D2150" t="s">
        <v>106</v>
      </c>
    </row>
    <row r="2151" spans="1:4" x14ac:dyDescent="0.25">
      <c r="A2151" t="s">
        <v>4265</v>
      </c>
      <c r="B2151" t="s">
        <v>33</v>
      </c>
      <c r="C2151" t="s">
        <v>4266</v>
      </c>
      <c r="D2151" t="s">
        <v>106</v>
      </c>
    </row>
    <row r="2152" spans="1:4" x14ac:dyDescent="0.25">
      <c r="A2152" t="s">
        <v>4267</v>
      </c>
      <c r="B2152" t="s">
        <v>33</v>
      </c>
      <c r="C2152" t="s">
        <v>4268</v>
      </c>
      <c r="D2152" t="s">
        <v>106</v>
      </c>
    </row>
    <row r="2153" spans="1:4" x14ac:dyDescent="0.25">
      <c r="A2153" t="s">
        <v>4269</v>
      </c>
      <c r="B2153" t="s">
        <v>33</v>
      </c>
      <c r="C2153" t="s">
        <v>4270</v>
      </c>
      <c r="D2153" t="s">
        <v>106</v>
      </c>
    </row>
    <row r="2154" spans="1:4" x14ac:dyDescent="0.25">
      <c r="A2154" t="s">
        <v>4271</v>
      </c>
      <c r="B2154" t="s">
        <v>33</v>
      </c>
      <c r="C2154" t="s">
        <v>4272</v>
      </c>
      <c r="D2154" t="s">
        <v>106</v>
      </c>
    </row>
    <row r="2155" spans="1:4" x14ac:dyDescent="0.25">
      <c r="A2155" t="s">
        <v>4273</v>
      </c>
      <c r="B2155" t="s">
        <v>33</v>
      </c>
      <c r="C2155" t="s">
        <v>4274</v>
      </c>
      <c r="D2155" t="s">
        <v>106</v>
      </c>
    </row>
    <row r="2156" spans="1:4" x14ac:dyDescent="0.25">
      <c r="A2156" t="s">
        <v>4275</v>
      </c>
      <c r="B2156" t="s">
        <v>33</v>
      </c>
      <c r="C2156" t="s">
        <v>4276</v>
      </c>
      <c r="D2156" t="s">
        <v>106</v>
      </c>
    </row>
    <row r="2157" spans="1:4" x14ac:dyDescent="0.25">
      <c r="A2157" t="s">
        <v>4277</v>
      </c>
      <c r="B2157" t="s">
        <v>33</v>
      </c>
      <c r="C2157" t="s">
        <v>4278</v>
      </c>
      <c r="D2157" t="s">
        <v>106</v>
      </c>
    </row>
    <row r="2158" spans="1:4" x14ac:dyDescent="0.25">
      <c r="A2158" t="s">
        <v>4279</v>
      </c>
      <c r="B2158" t="s">
        <v>33</v>
      </c>
      <c r="C2158" t="s">
        <v>4280</v>
      </c>
      <c r="D2158" t="s">
        <v>106</v>
      </c>
    </row>
    <row r="2159" spans="1:4" x14ac:dyDescent="0.25">
      <c r="A2159" t="s">
        <v>4281</v>
      </c>
      <c r="B2159" t="s">
        <v>33</v>
      </c>
      <c r="C2159" t="s">
        <v>4282</v>
      </c>
      <c r="D2159" t="s">
        <v>106</v>
      </c>
    </row>
    <row r="2160" spans="1:4" x14ac:dyDescent="0.25">
      <c r="A2160" t="s">
        <v>4283</v>
      </c>
      <c r="B2160" t="s">
        <v>33</v>
      </c>
      <c r="C2160" t="s">
        <v>4284</v>
      </c>
      <c r="D2160" t="s">
        <v>106</v>
      </c>
    </row>
    <row r="2161" spans="1:4" x14ac:dyDescent="0.25">
      <c r="A2161" t="s">
        <v>4285</v>
      </c>
      <c r="B2161" t="s">
        <v>33</v>
      </c>
      <c r="C2161" t="s">
        <v>4286</v>
      </c>
      <c r="D2161" t="s">
        <v>106</v>
      </c>
    </row>
    <row r="2162" spans="1:4" x14ac:dyDescent="0.25">
      <c r="A2162" t="s">
        <v>4287</v>
      </c>
      <c r="B2162" t="s">
        <v>33</v>
      </c>
      <c r="C2162" t="s">
        <v>4288</v>
      </c>
      <c r="D2162" t="s">
        <v>106</v>
      </c>
    </row>
    <row r="2163" spans="1:4" x14ac:dyDescent="0.25">
      <c r="A2163" t="s">
        <v>4289</v>
      </c>
      <c r="B2163" t="s">
        <v>33</v>
      </c>
      <c r="C2163" t="s">
        <v>4290</v>
      </c>
      <c r="D2163" t="s">
        <v>106</v>
      </c>
    </row>
    <row r="2164" spans="1:4" x14ac:dyDescent="0.25">
      <c r="A2164" t="s">
        <v>4291</v>
      </c>
      <c r="B2164" t="s">
        <v>33</v>
      </c>
      <c r="C2164" t="s">
        <v>4292</v>
      </c>
      <c r="D2164" t="s">
        <v>106</v>
      </c>
    </row>
    <row r="2165" spans="1:4" x14ac:dyDescent="0.25">
      <c r="A2165" t="s">
        <v>4293</v>
      </c>
      <c r="B2165" t="s">
        <v>33</v>
      </c>
      <c r="C2165" t="s">
        <v>4294</v>
      </c>
      <c r="D2165" t="s">
        <v>106</v>
      </c>
    </row>
    <row r="2166" spans="1:4" x14ac:dyDescent="0.25">
      <c r="A2166" t="s">
        <v>4295</v>
      </c>
      <c r="B2166" t="s">
        <v>33</v>
      </c>
      <c r="C2166" t="s">
        <v>4296</v>
      </c>
      <c r="D2166" t="s">
        <v>106</v>
      </c>
    </row>
    <row r="2167" spans="1:4" x14ac:dyDescent="0.25">
      <c r="A2167" t="s">
        <v>4297</v>
      </c>
      <c r="B2167" t="s">
        <v>33</v>
      </c>
      <c r="C2167" t="s">
        <v>4298</v>
      </c>
      <c r="D2167" t="s">
        <v>106</v>
      </c>
    </row>
    <row r="2168" spans="1:4" x14ac:dyDescent="0.25">
      <c r="A2168" t="s">
        <v>4299</v>
      </c>
      <c r="B2168" t="s">
        <v>33</v>
      </c>
      <c r="C2168" t="s">
        <v>4300</v>
      </c>
      <c r="D2168" t="s">
        <v>106</v>
      </c>
    </row>
    <row r="2169" spans="1:4" x14ac:dyDescent="0.25">
      <c r="A2169" t="s">
        <v>4301</v>
      </c>
      <c r="B2169" t="s">
        <v>33</v>
      </c>
      <c r="C2169" t="s">
        <v>4302</v>
      </c>
      <c r="D2169" t="s">
        <v>106</v>
      </c>
    </row>
    <row r="2170" spans="1:4" x14ac:dyDescent="0.25">
      <c r="A2170" t="s">
        <v>4303</v>
      </c>
      <c r="B2170" t="s">
        <v>33</v>
      </c>
      <c r="C2170" t="s">
        <v>4304</v>
      </c>
      <c r="D2170" t="s">
        <v>106</v>
      </c>
    </row>
    <row r="2171" spans="1:4" x14ac:dyDescent="0.25">
      <c r="A2171" t="s">
        <v>4305</v>
      </c>
      <c r="B2171" t="s">
        <v>33</v>
      </c>
      <c r="C2171" t="s">
        <v>4306</v>
      </c>
      <c r="D2171" t="s">
        <v>106</v>
      </c>
    </row>
    <row r="2172" spans="1:4" x14ac:dyDescent="0.25">
      <c r="A2172" t="s">
        <v>4307</v>
      </c>
      <c r="B2172" t="s">
        <v>33</v>
      </c>
      <c r="C2172" t="s">
        <v>4308</v>
      </c>
      <c r="D2172" t="s">
        <v>106</v>
      </c>
    </row>
    <row r="2173" spans="1:4" x14ac:dyDescent="0.25">
      <c r="A2173" t="s">
        <v>4309</v>
      </c>
      <c r="B2173" t="s">
        <v>33</v>
      </c>
      <c r="C2173" t="s">
        <v>4310</v>
      </c>
      <c r="D2173" t="s">
        <v>106</v>
      </c>
    </row>
    <row r="2174" spans="1:4" x14ac:dyDescent="0.25">
      <c r="A2174" t="s">
        <v>4311</v>
      </c>
      <c r="B2174" t="s">
        <v>33</v>
      </c>
      <c r="C2174" t="s">
        <v>4312</v>
      </c>
      <c r="D2174" t="s">
        <v>106</v>
      </c>
    </row>
    <row r="2175" spans="1:4" x14ac:dyDescent="0.25">
      <c r="A2175" t="s">
        <v>4313</v>
      </c>
      <c r="B2175" t="s">
        <v>33</v>
      </c>
      <c r="C2175" t="s">
        <v>4314</v>
      </c>
      <c r="D2175" t="s">
        <v>106</v>
      </c>
    </row>
    <row r="2176" spans="1:4" x14ac:dyDescent="0.25">
      <c r="A2176" t="s">
        <v>4315</v>
      </c>
      <c r="B2176" t="s">
        <v>33</v>
      </c>
      <c r="C2176" t="s">
        <v>4316</v>
      </c>
      <c r="D2176" t="s">
        <v>106</v>
      </c>
    </row>
    <row r="2177" spans="1:4" x14ac:dyDescent="0.25">
      <c r="A2177" t="s">
        <v>4317</v>
      </c>
      <c r="B2177" t="s">
        <v>33</v>
      </c>
      <c r="C2177" t="s">
        <v>4318</v>
      </c>
      <c r="D2177" t="s">
        <v>106</v>
      </c>
    </row>
    <row r="2178" spans="1:4" x14ac:dyDescent="0.25">
      <c r="A2178" t="s">
        <v>4319</v>
      </c>
      <c r="B2178" t="s">
        <v>33</v>
      </c>
      <c r="C2178" t="s">
        <v>4320</v>
      </c>
      <c r="D2178" t="s">
        <v>106</v>
      </c>
    </row>
    <row r="2179" spans="1:4" x14ac:dyDescent="0.25">
      <c r="A2179" t="s">
        <v>4321</v>
      </c>
      <c r="B2179" t="s">
        <v>33</v>
      </c>
      <c r="C2179" t="s">
        <v>4322</v>
      </c>
      <c r="D2179" t="s">
        <v>106</v>
      </c>
    </row>
    <row r="2180" spans="1:4" x14ac:dyDescent="0.25">
      <c r="A2180" t="s">
        <v>4323</v>
      </c>
      <c r="B2180" t="s">
        <v>33</v>
      </c>
      <c r="C2180" t="s">
        <v>4324</v>
      </c>
      <c r="D2180" t="s">
        <v>106</v>
      </c>
    </row>
    <row r="2181" spans="1:4" x14ac:dyDescent="0.25">
      <c r="A2181" t="s">
        <v>4325</v>
      </c>
      <c r="B2181" t="s">
        <v>33</v>
      </c>
      <c r="C2181" t="s">
        <v>4326</v>
      </c>
      <c r="D2181" t="s">
        <v>106</v>
      </c>
    </row>
    <row r="2182" spans="1:4" x14ac:dyDescent="0.25">
      <c r="A2182" t="s">
        <v>4327</v>
      </c>
      <c r="B2182" t="s">
        <v>33</v>
      </c>
      <c r="C2182" t="s">
        <v>4328</v>
      </c>
      <c r="D2182" t="s">
        <v>106</v>
      </c>
    </row>
    <row r="2183" spans="1:4" x14ac:dyDescent="0.25">
      <c r="A2183" t="s">
        <v>4329</v>
      </c>
      <c r="B2183" t="s">
        <v>33</v>
      </c>
      <c r="C2183" t="s">
        <v>4330</v>
      </c>
      <c r="D2183" t="s">
        <v>106</v>
      </c>
    </row>
    <row r="2184" spans="1:4" x14ac:dyDescent="0.25">
      <c r="A2184" t="s">
        <v>4331</v>
      </c>
      <c r="B2184" t="s">
        <v>33</v>
      </c>
      <c r="C2184" t="s">
        <v>4332</v>
      </c>
      <c r="D2184" t="s">
        <v>106</v>
      </c>
    </row>
    <row r="2185" spans="1:4" x14ac:dyDescent="0.25">
      <c r="A2185" t="s">
        <v>4333</v>
      </c>
      <c r="B2185" t="s">
        <v>33</v>
      </c>
      <c r="C2185" t="s">
        <v>4334</v>
      </c>
      <c r="D2185" t="s">
        <v>106</v>
      </c>
    </row>
    <row r="2186" spans="1:4" x14ac:dyDescent="0.25">
      <c r="A2186" t="s">
        <v>4335</v>
      </c>
      <c r="B2186" t="s">
        <v>33</v>
      </c>
      <c r="C2186" t="s">
        <v>4336</v>
      </c>
      <c r="D2186" t="s">
        <v>106</v>
      </c>
    </row>
    <row r="2187" spans="1:4" x14ac:dyDescent="0.25">
      <c r="A2187" t="s">
        <v>4337</v>
      </c>
      <c r="B2187" t="s">
        <v>33</v>
      </c>
      <c r="C2187" t="s">
        <v>4338</v>
      </c>
      <c r="D2187" t="s">
        <v>106</v>
      </c>
    </row>
    <row r="2188" spans="1:4" x14ac:dyDescent="0.25">
      <c r="A2188" t="s">
        <v>4339</v>
      </c>
      <c r="B2188" t="s">
        <v>33</v>
      </c>
      <c r="C2188" t="s">
        <v>4340</v>
      </c>
      <c r="D2188" t="s">
        <v>106</v>
      </c>
    </row>
    <row r="2189" spans="1:4" x14ac:dyDescent="0.25">
      <c r="A2189" t="s">
        <v>4341</v>
      </c>
      <c r="B2189" t="s">
        <v>33</v>
      </c>
      <c r="C2189" t="s">
        <v>4342</v>
      </c>
      <c r="D2189" t="s">
        <v>106</v>
      </c>
    </row>
    <row r="2190" spans="1:4" x14ac:dyDescent="0.25">
      <c r="A2190" t="s">
        <v>4343</v>
      </c>
      <c r="B2190" t="s">
        <v>33</v>
      </c>
      <c r="C2190" t="s">
        <v>4344</v>
      </c>
      <c r="D2190" t="s">
        <v>106</v>
      </c>
    </row>
    <row r="2191" spans="1:4" x14ac:dyDescent="0.25">
      <c r="A2191" t="s">
        <v>4345</v>
      </c>
      <c r="B2191" t="s">
        <v>33</v>
      </c>
      <c r="C2191" t="s">
        <v>4346</v>
      </c>
      <c r="D2191" t="s">
        <v>106</v>
      </c>
    </row>
    <row r="2192" spans="1:4" x14ac:dyDescent="0.25">
      <c r="A2192" t="s">
        <v>4347</v>
      </c>
      <c r="B2192" t="s">
        <v>33</v>
      </c>
      <c r="C2192" t="s">
        <v>4348</v>
      </c>
      <c r="D2192" t="s">
        <v>106</v>
      </c>
    </row>
    <row r="2193" spans="1:4" x14ac:dyDescent="0.25">
      <c r="A2193" t="s">
        <v>4349</v>
      </c>
      <c r="B2193" t="s">
        <v>33</v>
      </c>
      <c r="C2193" t="s">
        <v>4350</v>
      </c>
      <c r="D2193" t="s">
        <v>106</v>
      </c>
    </row>
    <row r="2194" spans="1:4" x14ac:dyDescent="0.25">
      <c r="A2194" t="s">
        <v>4351</v>
      </c>
      <c r="B2194" t="s">
        <v>33</v>
      </c>
      <c r="C2194" t="s">
        <v>4352</v>
      </c>
      <c r="D2194" t="s">
        <v>106</v>
      </c>
    </row>
    <row r="2195" spans="1:4" x14ac:dyDescent="0.25">
      <c r="A2195" t="s">
        <v>4353</v>
      </c>
      <c r="B2195" t="s">
        <v>33</v>
      </c>
      <c r="C2195" t="s">
        <v>4354</v>
      </c>
      <c r="D2195" t="s">
        <v>106</v>
      </c>
    </row>
    <row r="2196" spans="1:4" x14ac:dyDescent="0.25">
      <c r="A2196" t="s">
        <v>4355</v>
      </c>
      <c r="B2196" t="s">
        <v>33</v>
      </c>
      <c r="C2196" t="s">
        <v>4356</v>
      </c>
      <c r="D2196" t="s">
        <v>106</v>
      </c>
    </row>
    <row r="2197" spans="1:4" x14ac:dyDescent="0.25">
      <c r="A2197" t="s">
        <v>4357</v>
      </c>
      <c r="B2197" t="s">
        <v>33</v>
      </c>
      <c r="C2197" t="s">
        <v>4358</v>
      </c>
      <c r="D2197" t="s">
        <v>106</v>
      </c>
    </row>
    <row r="2198" spans="1:4" x14ac:dyDescent="0.25">
      <c r="A2198" t="s">
        <v>4359</v>
      </c>
      <c r="B2198" t="s">
        <v>33</v>
      </c>
      <c r="C2198" t="s">
        <v>4360</v>
      </c>
      <c r="D2198" t="s">
        <v>106</v>
      </c>
    </row>
    <row r="2199" spans="1:4" x14ac:dyDescent="0.25">
      <c r="A2199" t="s">
        <v>4361</v>
      </c>
      <c r="B2199" t="s">
        <v>33</v>
      </c>
      <c r="C2199" t="s">
        <v>4362</v>
      </c>
      <c r="D2199" t="s">
        <v>106</v>
      </c>
    </row>
    <row r="2200" spans="1:4" x14ac:dyDescent="0.25">
      <c r="A2200" t="s">
        <v>4363</v>
      </c>
      <c r="B2200" t="s">
        <v>33</v>
      </c>
      <c r="C2200" t="s">
        <v>4364</v>
      </c>
      <c r="D2200" t="s">
        <v>106</v>
      </c>
    </row>
    <row r="2201" spans="1:4" x14ac:dyDescent="0.25">
      <c r="A2201" t="s">
        <v>4365</v>
      </c>
      <c r="B2201" t="s">
        <v>33</v>
      </c>
      <c r="C2201" t="s">
        <v>4366</v>
      </c>
      <c r="D2201" t="s">
        <v>106</v>
      </c>
    </row>
    <row r="2202" spans="1:4" x14ac:dyDescent="0.25">
      <c r="A2202" t="s">
        <v>4367</v>
      </c>
      <c r="B2202" t="s">
        <v>33</v>
      </c>
      <c r="C2202" t="s">
        <v>4368</v>
      </c>
      <c r="D2202" t="s">
        <v>106</v>
      </c>
    </row>
    <row r="2203" spans="1:4" x14ac:dyDescent="0.25">
      <c r="A2203" t="s">
        <v>4369</v>
      </c>
      <c r="B2203" t="s">
        <v>33</v>
      </c>
      <c r="C2203" t="s">
        <v>4370</v>
      </c>
      <c r="D2203" t="s">
        <v>106</v>
      </c>
    </row>
    <row r="2204" spans="1:4" x14ac:dyDescent="0.25">
      <c r="A2204" t="s">
        <v>4371</v>
      </c>
      <c r="B2204" t="s">
        <v>33</v>
      </c>
      <c r="C2204" t="s">
        <v>4372</v>
      </c>
      <c r="D2204" t="s">
        <v>106</v>
      </c>
    </row>
    <row r="2205" spans="1:4" x14ac:dyDescent="0.25">
      <c r="A2205" t="s">
        <v>4373</v>
      </c>
      <c r="B2205" t="s">
        <v>33</v>
      </c>
      <c r="C2205" t="s">
        <v>4374</v>
      </c>
      <c r="D2205" t="s">
        <v>106</v>
      </c>
    </row>
    <row r="2206" spans="1:4" x14ac:dyDescent="0.25">
      <c r="A2206" t="s">
        <v>4375</v>
      </c>
      <c r="B2206" t="s">
        <v>33</v>
      </c>
      <c r="C2206" t="s">
        <v>4376</v>
      </c>
      <c r="D2206" t="s">
        <v>106</v>
      </c>
    </row>
    <row r="2207" spans="1:4" x14ac:dyDescent="0.25">
      <c r="A2207" t="s">
        <v>4377</v>
      </c>
      <c r="B2207" t="s">
        <v>33</v>
      </c>
      <c r="C2207" t="s">
        <v>4378</v>
      </c>
      <c r="D2207" t="s">
        <v>106</v>
      </c>
    </row>
    <row r="2208" spans="1:4" x14ac:dyDescent="0.25">
      <c r="A2208" t="s">
        <v>4379</v>
      </c>
      <c r="B2208" t="s">
        <v>33</v>
      </c>
      <c r="C2208" t="s">
        <v>4380</v>
      </c>
      <c r="D2208" t="s">
        <v>106</v>
      </c>
    </row>
    <row r="2209" spans="1:4" x14ac:dyDescent="0.25">
      <c r="A2209" t="s">
        <v>4381</v>
      </c>
      <c r="B2209" t="s">
        <v>33</v>
      </c>
      <c r="C2209" t="s">
        <v>4382</v>
      </c>
      <c r="D2209" t="s">
        <v>106</v>
      </c>
    </row>
    <row r="2210" spans="1:4" x14ac:dyDescent="0.25">
      <c r="A2210" t="s">
        <v>4383</v>
      </c>
      <c r="B2210" t="s">
        <v>33</v>
      </c>
      <c r="C2210" t="s">
        <v>4384</v>
      </c>
      <c r="D2210" t="s">
        <v>106</v>
      </c>
    </row>
    <row r="2211" spans="1:4" x14ac:dyDescent="0.25">
      <c r="A2211" t="s">
        <v>4385</v>
      </c>
      <c r="B2211" t="s">
        <v>33</v>
      </c>
      <c r="C2211" t="s">
        <v>4386</v>
      </c>
      <c r="D2211" t="s">
        <v>106</v>
      </c>
    </row>
    <row r="2212" spans="1:4" x14ac:dyDescent="0.25">
      <c r="A2212" t="s">
        <v>4387</v>
      </c>
      <c r="B2212" t="s">
        <v>33</v>
      </c>
      <c r="C2212" t="s">
        <v>4388</v>
      </c>
      <c r="D2212" t="s">
        <v>106</v>
      </c>
    </row>
    <row r="2213" spans="1:4" x14ac:dyDescent="0.25">
      <c r="A2213" t="s">
        <v>4389</v>
      </c>
      <c r="B2213" t="s">
        <v>33</v>
      </c>
      <c r="C2213" t="s">
        <v>4390</v>
      </c>
      <c r="D2213" t="s">
        <v>106</v>
      </c>
    </row>
    <row r="2214" spans="1:4" x14ac:dyDescent="0.25">
      <c r="A2214" t="s">
        <v>4391</v>
      </c>
      <c r="B2214" t="s">
        <v>33</v>
      </c>
      <c r="C2214" t="s">
        <v>4392</v>
      </c>
      <c r="D2214" t="s">
        <v>106</v>
      </c>
    </row>
    <row r="2215" spans="1:4" x14ac:dyDescent="0.25">
      <c r="A2215" t="s">
        <v>4393</v>
      </c>
      <c r="B2215" t="s">
        <v>33</v>
      </c>
      <c r="C2215" t="s">
        <v>4394</v>
      </c>
      <c r="D2215" t="s">
        <v>106</v>
      </c>
    </row>
    <row r="2216" spans="1:4" x14ac:dyDescent="0.25">
      <c r="A2216" t="s">
        <v>4395</v>
      </c>
      <c r="B2216" t="s">
        <v>33</v>
      </c>
      <c r="C2216" t="s">
        <v>4396</v>
      </c>
      <c r="D2216" t="s">
        <v>106</v>
      </c>
    </row>
    <row r="2217" spans="1:4" x14ac:dyDescent="0.25">
      <c r="A2217" t="s">
        <v>4397</v>
      </c>
      <c r="B2217" t="s">
        <v>33</v>
      </c>
      <c r="C2217" t="s">
        <v>4398</v>
      </c>
      <c r="D2217" t="s">
        <v>106</v>
      </c>
    </row>
    <row r="2218" spans="1:4" x14ac:dyDescent="0.25">
      <c r="A2218" t="s">
        <v>4399</v>
      </c>
      <c r="B2218" t="s">
        <v>33</v>
      </c>
      <c r="C2218" t="s">
        <v>4400</v>
      </c>
      <c r="D2218" t="s">
        <v>106</v>
      </c>
    </row>
    <row r="2219" spans="1:4" x14ac:dyDescent="0.25">
      <c r="A2219" t="s">
        <v>4401</v>
      </c>
      <c r="B2219" t="s">
        <v>33</v>
      </c>
      <c r="C2219" t="s">
        <v>4402</v>
      </c>
      <c r="D2219" t="s">
        <v>106</v>
      </c>
    </row>
    <row r="2220" spans="1:4" x14ac:dyDescent="0.25">
      <c r="A2220" t="s">
        <v>4403</v>
      </c>
      <c r="B2220" t="s">
        <v>33</v>
      </c>
      <c r="C2220" t="s">
        <v>4404</v>
      </c>
      <c r="D2220" t="s">
        <v>106</v>
      </c>
    </row>
    <row r="2221" spans="1:4" x14ac:dyDescent="0.25">
      <c r="A2221" t="s">
        <v>4405</v>
      </c>
      <c r="B2221" t="s">
        <v>33</v>
      </c>
      <c r="C2221" t="s">
        <v>4406</v>
      </c>
      <c r="D2221" t="s">
        <v>106</v>
      </c>
    </row>
    <row r="2222" spans="1:4" x14ac:dyDescent="0.25">
      <c r="A2222" t="s">
        <v>4407</v>
      </c>
      <c r="B2222" t="s">
        <v>33</v>
      </c>
      <c r="C2222" t="s">
        <v>4408</v>
      </c>
      <c r="D2222" t="s">
        <v>106</v>
      </c>
    </row>
    <row r="2223" spans="1:4" x14ac:dyDescent="0.25">
      <c r="A2223" t="s">
        <v>4409</v>
      </c>
      <c r="B2223" t="s">
        <v>33</v>
      </c>
      <c r="C2223" t="s">
        <v>4410</v>
      </c>
      <c r="D2223" t="s">
        <v>106</v>
      </c>
    </row>
    <row r="2224" spans="1:4" x14ac:dyDescent="0.25">
      <c r="A2224" t="s">
        <v>4411</v>
      </c>
      <c r="B2224" t="s">
        <v>33</v>
      </c>
      <c r="C2224" t="s">
        <v>4412</v>
      </c>
      <c r="D2224" t="s">
        <v>106</v>
      </c>
    </row>
    <row r="2225" spans="1:4" x14ac:dyDescent="0.25">
      <c r="A2225" t="s">
        <v>4413</v>
      </c>
      <c r="B2225" t="s">
        <v>33</v>
      </c>
      <c r="C2225" t="s">
        <v>4414</v>
      </c>
      <c r="D2225" t="s">
        <v>106</v>
      </c>
    </row>
    <row r="2226" spans="1:4" x14ac:dyDescent="0.25">
      <c r="A2226" t="s">
        <v>4415</v>
      </c>
      <c r="B2226" t="s">
        <v>33</v>
      </c>
      <c r="C2226" t="s">
        <v>4416</v>
      </c>
      <c r="D2226" t="s">
        <v>106</v>
      </c>
    </row>
    <row r="2227" spans="1:4" x14ac:dyDescent="0.25">
      <c r="A2227" t="s">
        <v>4417</v>
      </c>
      <c r="B2227" t="s">
        <v>33</v>
      </c>
      <c r="C2227" t="s">
        <v>4418</v>
      </c>
      <c r="D2227" t="s">
        <v>106</v>
      </c>
    </row>
    <row r="2228" spans="1:4" x14ac:dyDescent="0.25">
      <c r="A2228" t="s">
        <v>4419</v>
      </c>
      <c r="B2228" t="s">
        <v>33</v>
      </c>
      <c r="C2228" t="s">
        <v>4420</v>
      </c>
      <c r="D2228" t="s">
        <v>106</v>
      </c>
    </row>
    <row r="2229" spans="1:4" x14ac:dyDescent="0.25">
      <c r="A2229" t="s">
        <v>4421</v>
      </c>
      <c r="B2229" t="s">
        <v>33</v>
      </c>
      <c r="C2229" t="s">
        <v>4422</v>
      </c>
      <c r="D2229" t="s">
        <v>106</v>
      </c>
    </row>
    <row r="2230" spans="1:4" x14ac:dyDescent="0.25">
      <c r="A2230" t="s">
        <v>4423</v>
      </c>
      <c r="B2230" t="s">
        <v>33</v>
      </c>
      <c r="C2230" t="s">
        <v>4424</v>
      </c>
      <c r="D2230" t="s">
        <v>106</v>
      </c>
    </row>
    <row r="2231" spans="1:4" x14ac:dyDescent="0.25">
      <c r="A2231" t="s">
        <v>4425</v>
      </c>
      <c r="B2231" t="s">
        <v>33</v>
      </c>
      <c r="C2231" t="s">
        <v>4426</v>
      </c>
      <c r="D2231" t="s">
        <v>106</v>
      </c>
    </row>
    <row r="2232" spans="1:4" x14ac:dyDescent="0.25">
      <c r="A2232" t="s">
        <v>4427</v>
      </c>
      <c r="B2232" t="s">
        <v>33</v>
      </c>
      <c r="C2232" t="s">
        <v>4428</v>
      </c>
      <c r="D2232" t="s">
        <v>106</v>
      </c>
    </row>
    <row r="2233" spans="1:4" x14ac:dyDescent="0.25">
      <c r="A2233" t="s">
        <v>4429</v>
      </c>
      <c r="B2233" t="s">
        <v>33</v>
      </c>
      <c r="C2233" t="s">
        <v>4430</v>
      </c>
      <c r="D2233" t="s">
        <v>106</v>
      </c>
    </row>
    <row r="2234" spans="1:4" x14ac:dyDescent="0.25">
      <c r="A2234" t="s">
        <v>4431</v>
      </c>
      <c r="B2234" t="s">
        <v>33</v>
      </c>
      <c r="C2234" t="s">
        <v>4432</v>
      </c>
      <c r="D2234" t="s">
        <v>106</v>
      </c>
    </row>
    <row r="2235" spans="1:4" x14ac:dyDescent="0.25">
      <c r="A2235" t="s">
        <v>4433</v>
      </c>
      <c r="B2235" t="s">
        <v>33</v>
      </c>
      <c r="C2235" t="s">
        <v>4434</v>
      </c>
      <c r="D2235" t="s">
        <v>106</v>
      </c>
    </row>
    <row r="2236" spans="1:4" x14ac:dyDescent="0.25">
      <c r="A2236" t="s">
        <v>4435</v>
      </c>
      <c r="B2236" t="s">
        <v>33</v>
      </c>
      <c r="C2236" t="s">
        <v>4436</v>
      </c>
      <c r="D2236" t="s">
        <v>106</v>
      </c>
    </row>
    <row r="2237" spans="1:4" x14ac:dyDescent="0.25">
      <c r="A2237" t="s">
        <v>4437</v>
      </c>
      <c r="B2237" t="s">
        <v>33</v>
      </c>
      <c r="C2237" t="s">
        <v>4438</v>
      </c>
      <c r="D2237" t="s">
        <v>106</v>
      </c>
    </row>
    <row r="2238" spans="1:4" x14ac:dyDescent="0.25">
      <c r="A2238" t="s">
        <v>4439</v>
      </c>
      <c r="B2238" t="s">
        <v>33</v>
      </c>
      <c r="C2238" t="s">
        <v>4440</v>
      </c>
      <c r="D2238" t="s">
        <v>106</v>
      </c>
    </row>
    <row r="2239" spans="1:4" x14ac:dyDescent="0.25">
      <c r="A2239" t="s">
        <v>4441</v>
      </c>
      <c r="B2239" t="s">
        <v>33</v>
      </c>
      <c r="C2239" t="s">
        <v>4442</v>
      </c>
      <c r="D2239" t="s">
        <v>7</v>
      </c>
    </row>
    <row r="2240" spans="1:4" x14ac:dyDescent="0.25">
      <c r="A2240" t="s">
        <v>4443</v>
      </c>
      <c r="B2240" t="s">
        <v>33</v>
      </c>
      <c r="C2240" t="s">
        <v>4444</v>
      </c>
      <c r="D2240" t="s">
        <v>106</v>
      </c>
    </row>
    <row r="2241" spans="1:4" x14ac:dyDescent="0.25">
      <c r="A2241" t="s">
        <v>4445</v>
      </c>
      <c r="B2241" t="s">
        <v>33</v>
      </c>
      <c r="C2241" t="s">
        <v>4446</v>
      </c>
      <c r="D2241" t="s">
        <v>106</v>
      </c>
    </row>
    <row r="2242" spans="1:4" x14ac:dyDescent="0.25">
      <c r="A2242" t="s">
        <v>4447</v>
      </c>
      <c r="B2242" t="s">
        <v>33</v>
      </c>
      <c r="C2242" t="s">
        <v>4448</v>
      </c>
      <c r="D2242" t="s">
        <v>7</v>
      </c>
    </row>
    <row r="2243" spans="1:4" x14ac:dyDescent="0.25">
      <c r="A2243" t="s">
        <v>4449</v>
      </c>
      <c r="B2243" t="s">
        <v>33</v>
      </c>
      <c r="C2243" t="s">
        <v>4450</v>
      </c>
      <c r="D2243" t="s">
        <v>106</v>
      </c>
    </row>
    <row r="2244" spans="1:4" x14ac:dyDescent="0.25">
      <c r="A2244" t="s">
        <v>4451</v>
      </c>
      <c r="B2244" t="s">
        <v>33</v>
      </c>
      <c r="C2244" t="s">
        <v>4452</v>
      </c>
      <c r="D2244" t="s">
        <v>106</v>
      </c>
    </row>
    <row r="2245" spans="1:4" x14ac:dyDescent="0.25">
      <c r="A2245" t="s">
        <v>4453</v>
      </c>
      <c r="B2245" t="s">
        <v>33</v>
      </c>
      <c r="C2245" t="s">
        <v>4454</v>
      </c>
      <c r="D2245" t="s">
        <v>106</v>
      </c>
    </row>
    <row r="2246" spans="1:4" x14ac:dyDescent="0.25">
      <c r="A2246" t="s">
        <v>4455</v>
      </c>
      <c r="B2246" t="s">
        <v>33</v>
      </c>
      <c r="C2246" t="s">
        <v>4456</v>
      </c>
      <c r="D2246" t="s">
        <v>106</v>
      </c>
    </row>
    <row r="2247" spans="1:4" x14ac:dyDescent="0.25">
      <c r="A2247" t="s">
        <v>4457</v>
      </c>
      <c r="B2247" t="s">
        <v>33</v>
      </c>
      <c r="C2247" t="s">
        <v>4458</v>
      </c>
      <c r="D2247" t="s">
        <v>106</v>
      </c>
    </row>
    <row r="2248" spans="1:4" x14ac:dyDescent="0.25">
      <c r="A2248" t="s">
        <v>4459</v>
      </c>
      <c r="B2248" t="s">
        <v>33</v>
      </c>
      <c r="C2248" t="s">
        <v>4460</v>
      </c>
      <c r="D2248" t="s">
        <v>106</v>
      </c>
    </row>
    <row r="2249" spans="1:4" x14ac:dyDescent="0.25">
      <c r="A2249" t="s">
        <v>4461</v>
      </c>
      <c r="B2249" t="s">
        <v>33</v>
      </c>
      <c r="C2249" t="s">
        <v>4462</v>
      </c>
      <c r="D2249" t="s">
        <v>106</v>
      </c>
    </row>
    <row r="2250" spans="1:4" x14ac:dyDescent="0.25">
      <c r="A2250" t="s">
        <v>4463</v>
      </c>
      <c r="B2250" t="s">
        <v>33</v>
      </c>
      <c r="C2250" t="s">
        <v>4464</v>
      </c>
      <c r="D2250" t="s">
        <v>106</v>
      </c>
    </row>
    <row r="2251" spans="1:4" x14ac:dyDescent="0.25">
      <c r="A2251" t="s">
        <v>4465</v>
      </c>
      <c r="B2251" t="s">
        <v>33</v>
      </c>
      <c r="C2251" t="s">
        <v>4466</v>
      </c>
      <c r="D2251" t="s">
        <v>106</v>
      </c>
    </row>
    <row r="2252" spans="1:4" x14ac:dyDescent="0.25">
      <c r="A2252" t="s">
        <v>4467</v>
      </c>
      <c r="B2252" t="s">
        <v>33</v>
      </c>
      <c r="C2252" t="s">
        <v>4468</v>
      </c>
      <c r="D2252" t="s">
        <v>106</v>
      </c>
    </row>
    <row r="2253" spans="1:4" x14ac:dyDescent="0.25">
      <c r="A2253" t="s">
        <v>4469</v>
      </c>
      <c r="B2253" t="s">
        <v>33</v>
      </c>
      <c r="C2253" t="s">
        <v>4470</v>
      </c>
      <c r="D2253" t="s">
        <v>106</v>
      </c>
    </row>
    <row r="2254" spans="1:4" x14ac:dyDescent="0.25">
      <c r="A2254" t="s">
        <v>4471</v>
      </c>
      <c r="B2254" t="s">
        <v>33</v>
      </c>
      <c r="C2254" t="s">
        <v>4472</v>
      </c>
      <c r="D2254" t="s">
        <v>106</v>
      </c>
    </row>
    <row r="2255" spans="1:4" x14ac:dyDescent="0.25">
      <c r="A2255" t="s">
        <v>4473</v>
      </c>
      <c r="B2255" t="s">
        <v>33</v>
      </c>
      <c r="C2255" t="s">
        <v>4474</v>
      </c>
      <c r="D2255" t="s">
        <v>106</v>
      </c>
    </row>
    <row r="2256" spans="1:4" x14ac:dyDescent="0.25">
      <c r="A2256" t="s">
        <v>4475</v>
      </c>
      <c r="B2256" t="s">
        <v>33</v>
      </c>
      <c r="C2256" t="s">
        <v>4476</v>
      </c>
      <c r="D2256" t="s">
        <v>106</v>
      </c>
    </row>
    <row r="2257" spans="1:4" x14ac:dyDescent="0.25">
      <c r="A2257" t="s">
        <v>4477</v>
      </c>
      <c r="B2257" t="s">
        <v>33</v>
      </c>
      <c r="C2257" t="s">
        <v>4478</v>
      </c>
      <c r="D2257" t="s">
        <v>106</v>
      </c>
    </row>
    <row r="2258" spans="1:4" x14ac:dyDescent="0.25">
      <c r="A2258" t="s">
        <v>4479</v>
      </c>
      <c r="B2258" t="s">
        <v>33</v>
      </c>
      <c r="C2258" t="s">
        <v>4480</v>
      </c>
      <c r="D2258" t="s">
        <v>106</v>
      </c>
    </row>
    <row r="2259" spans="1:4" x14ac:dyDescent="0.25">
      <c r="A2259" t="s">
        <v>4481</v>
      </c>
      <c r="B2259" t="s">
        <v>33</v>
      </c>
      <c r="C2259" t="s">
        <v>4482</v>
      </c>
      <c r="D2259" t="s">
        <v>106</v>
      </c>
    </row>
    <row r="2260" spans="1:4" x14ac:dyDescent="0.25">
      <c r="A2260" t="s">
        <v>4483</v>
      </c>
      <c r="B2260" t="s">
        <v>33</v>
      </c>
      <c r="C2260" t="s">
        <v>4484</v>
      </c>
      <c r="D2260" t="s">
        <v>106</v>
      </c>
    </row>
    <row r="2261" spans="1:4" x14ac:dyDescent="0.25">
      <c r="A2261" t="s">
        <v>4485</v>
      </c>
      <c r="B2261" t="s">
        <v>33</v>
      </c>
      <c r="C2261" t="s">
        <v>4486</v>
      </c>
      <c r="D2261" t="s">
        <v>106</v>
      </c>
    </row>
    <row r="2262" spans="1:4" x14ac:dyDescent="0.25">
      <c r="A2262" t="s">
        <v>4487</v>
      </c>
      <c r="B2262" t="s">
        <v>33</v>
      </c>
      <c r="C2262" t="s">
        <v>4488</v>
      </c>
      <c r="D2262" t="s">
        <v>106</v>
      </c>
    </row>
    <row r="2263" spans="1:4" x14ac:dyDescent="0.25">
      <c r="A2263" t="s">
        <v>4489</v>
      </c>
      <c r="B2263" t="s">
        <v>33</v>
      </c>
      <c r="C2263" t="s">
        <v>4490</v>
      </c>
      <c r="D2263" t="s">
        <v>106</v>
      </c>
    </row>
    <row r="2264" spans="1:4" x14ac:dyDescent="0.25">
      <c r="A2264" t="s">
        <v>4491</v>
      </c>
      <c r="B2264" t="s">
        <v>33</v>
      </c>
      <c r="C2264" t="s">
        <v>4492</v>
      </c>
      <c r="D2264" t="s">
        <v>106</v>
      </c>
    </row>
    <row r="2265" spans="1:4" x14ac:dyDescent="0.25">
      <c r="A2265" t="s">
        <v>4493</v>
      </c>
      <c r="B2265" t="s">
        <v>33</v>
      </c>
      <c r="C2265" t="s">
        <v>4494</v>
      </c>
      <c r="D2265" t="s">
        <v>106</v>
      </c>
    </row>
    <row r="2266" spans="1:4" x14ac:dyDescent="0.25">
      <c r="A2266" t="s">
        <v>4495</v>
      </c>
      <c r="B2266" t="s">
        <v>33</v>
      </c>
      <c r="C2266" t="s">
        <v>4496</v>
      </c>
      <c r="D2266" t="s">
        <v>106</v>
      </c>
    </row>
    <row r="2267" spans="1:4" x14ac:dyDescent="0.25">
      <c r="A2267" t="s">
        <v>4497</v>
      </c>
      <c r="B2267" t="s">
        <v>33</v>
      </c>
      <c r="C2267" t="s">
        <v>4498</v>
      </c>
      <c r="D2267" t="s">
        <v>106</v>
      </c>
    </row>
    <row r="2268" spans="1:4" x14ac:dyDescent="0.25">
      <c r="A2268" t="s">
        <v>4499</v>
      </c>
      <c r="B2268" t="s">
        <v>33</v>
      </c>
      <c r="C2268" t="s">
        <v>4500</v>
      </c>
      <c r="D2268" t="s">
        <v>106</v>
      </c>
    </row>
    <row r="2269" spans="1:4" x14ac:dyDescent="0.25">
      <c r="A2269" t="s">
        <v>4501</v>
      </c>
      <c r="B2269" t="s">
        <v>33</v>
      </c>
      <c r="C2269" t="s">
        <v>4502</v>
      </c>
      <c r="D2269" t="s">
        <v>106</v>
      </c>
    </row>
    <row r="2270" spans="1:4" x14ac:dyDescent="0.25">
      <c r="A2270" t="s">
        <v>4503</v>
      </c>
      <c r="B2270" t="s">
        <v>33</v>
      </c>
      <c r="C2270" t="s">
        <v>4504</v>
      </c>
      <c r="D2270" t="s">
        <v>106</v>
      </c>
    </row>
    <row r="2271" spans="1:4" x14ac:dyDescent="0.25">
      <c r="A2271" t="s">
        <v>4505</v>
      </c>
      <c r="B2271" t="s">
        <v>33</v>
      </c>
      <c r="C2271" t="s">
        <v>4506</v>
      </c>
      <c r="D2271" t="s">
        <v>106</v>
      </c>
    </row>
    <row r="2272" spans="1:4" x14ac:dyDescent="0.25">
      <c r="A2272" t="s">
        <v>4507</v>
      </c>
      <c r="B2272" t="s">
        <v>33</v>
      </c>
      <c r="C2272" t="s">
        <v>4508</v>
      </c>
      <c r="D2272" t="s">
        <v>106</v>
      </c>
    </row>
    <row r="2273" spans="1:4" x14ac:dyDescent="0.25">
      <c r="A2273" t="s">
        <v>4509</v>
      </c>
      <c r="B2273" t="s">
        <v>33</v>
      </c>
      <c r="C2273" t="s">
        <v>4510</v>
      </c>
      <c r="D2273" t="s">
        <v>106</v>
      </c>
    </row>
    <row r="2274" spans="1:4" x14ac:dyDescent="0.25">
      <c r="A2274" t="s">
        <v>4511</v>
      </c>
      <c r="B2274" t="s">
        <v>33</v>
      </c>
      <c r="C2274" t="s">
        <v>4512</v>
      </c>
      <c r="D2274" t="s">
        <v>106</v>
      </c>
    </row>
    <row r="2275" spans="1:4" x14ac:dyDescent="0.25">
      <c r="A2275" t="s">
        <v>4513</v>
      </c>
      <c r="B2275" t="s">
        <v>33</v>
      </c>
      <c r="C2275" t="s">
        <v>4514</v>
      </c>
      <c r="D2275" t="s">
        <v>106</v>
      </c>
    </row>
    <row r="2276" spans="1:4" x14ac:dyDescent="0.25">
      <c r="A2276" t="s">
        <v>4515</v>
      </c>
      <c r="B2276" t="s">
        <v>33</v>
      </c>
      <c r="C2276" t="s">
        <v>4516</v>
      </c>
      <c r="D2276" t="s">
        <v>106</v>
      </c>
    </row>
    <row r="2277" spans="1:4" x14ac:dyDescent="0.25">
      <c r="A2277" t="s">
        <v>4517</v>
      </c>
      <c r="B2277" t="s">
        <v>33</v>
      </c>
      <c r="C2277" t="s">
        <v>4518</v>
      </c>
      <c r="D2277" t="s">
        <v>106</v>
      </c>
    </row>
    <row r="2278" spans="1:4" x14ac:dyDescent="0.25">
      <c r="A2278" t="s">
        <v>4519</v>
      </c>
      <c r="B2278" t="s">
        <v>33</v>
      </c>
      <c r="C2278" t="s">
        <v>4520</v>
      </c>
      <c r="D2278" t="s">
        <v>106</v>
      </c>
    </row>
    <row r="2279" spans="1:4" x14ac:dyDescent="0.25">
      <c r="A2279" t="s">
        <v>4521</v>
      </c>
      <c r="B2279" t="s">
        <v>33</v>
      </c>
      <c r="C2279" t="s">
        <v>4522</v>
      </c>
      <c r="D2279" t="s">
        <v>106</v>
      </c>
    </row>
    <row r="2280" spans="1:4" x14ac:dyDescent="0.25">
      <c r="A2280" t="s">
        <v>4523</v>
      </c>
      <c r="B2280" t="s">
        <v>33</v>
      </c>
      <c r="C2280" t="s">
        <v>4524</v>
      </c>
      <c r="D2280" t="s">
        <v>106</v>
      </c>
    </row>
    <row r="2281" spans="1:4" x14ac:dyDescent="0.25">
      <c r="A2281" t="s">
        <v>4525</v>
      </c>
      <c r="B2281" t="s">
        <v>33</v>
      </c>
      <c r="C2281" t="s">
        <v>4526</v>
      </c>
      <c r="D2281" t="s">
        <v>106</v>
      </c>
    </row>
    <row r="2282" spans="1:4" x14ac:dyDescent="0.25">
      <c r="A2282" t="s">
        <v>4527</v>
      </c>
      <c r="B2282" t="s">
        <v>33</v>
      </c>
      <c r="C2282" t="s">
        <v>4528</v>
      </c>
      <c r="D2282" t="s">
        <v>106</v>
      </c>
    </row>
    <row r="2283" spans="1:4" x14ac:dyDescent="0.25">
      <c r="A2283" t="s">
        <v>4529</v>
      </c>
      <c r="B2283" t="s">
        <v>33</v>
      </c>
      <c r="C2283" t="s">
        <v>4530</v>
      </c>
      <c r="D2283" t="s">
        <v>106</v>
      </c>
    </row>
    <row r="2284" spans="1:4" x14ac:dyDescent="0.25">
      <c r="A2284" t="s">
        <v>4531</v>
      </c>
      <c r="B2284" t="s">
        <v>33</v>
      </c>
      <c r="C2284" t="s">
        <v>4532</v>
      </c>
      <c r="D2284" t="s">
        <v>106</v>
      </c>
    </row>
    <row r="2285" spans="1:4" x14ac:dyDescent="0.25">
      <c r="A2285" t="s">
        <v>4533</v>
      </c>
      <c r="B2285" t="s">
        <v>33</v>
      </c>
      <c r="C2285" t="s">
        <v>4534</v>
      </c>
      <c r="D2285" t="s">
        <v>106</v>
      </c>
    </row>
    <row r="2286" spans="1:4" x14ac:dyDescent="0.25">
      <c r="A2286" t="s">
        <v>4535</v>
      </c>
      <c r="B2286" t="s">
        <v>33</v>
      </c>
      <c r="C2286" t="s">
        <v>4536</v>
      </c>
      <c r="D2286" t="s">
        <v>106</v>
      </c>
    </row>
    <row r="2287" spans="1:4" x14ac:dyDescent="0.25">
      <c r="A2287" t="s">
        <v>4537</v>
      </c>
      <c r="B2287" t="s">
        <v>33</v>
      </c>
      <c r="C2287" t="s">
        <v>4538</v>
      </c>
      <c r="D2287" t="s">
        <v>106</v>
      </c>
    </row>
    <row r="2288" spans="1:4" x14ac:dyDescent="0.25">
      <c r="A2288" t="s">
        <v>4539</v>
      </c>
      <c r="B2288" t="s">
        <v>33</v>
      </c>
      <c r="C2288" t="s">
        <v>4540</v>
      </c>
      <c r="D2288" t="s">
        <v>106</v>
      </c>
    </row>
    <row r="2289" spans="1:4" x14ac:dyDescent="0.25">
      <c r="A2289" t="s">
        <v>4541</v>
      </c>
      <c r="B2289" t="s">
        <v>33</v>
      </c>
      <c r="C2289" t="s">
        <v>4542</v>
      </c>
      <c r="D2289" t="s">
        <v>106</v>
      </c>
    </row>
    <row r="2290" spans="1:4" x14ac:dyDescent="0.25">
      <c r="A2290" t="s">
        <v>4543</v>
      </c>
      <c r="B2290" t="s">
        <v>33</v>
      </c>
      <c r="C2290" t="s">
        <v>4544</v>
      </c>
      <c r="D2290" t="s">
        <v>106</v>
      </c>
    </row>
    <row r="2291" spans="1:4" x14ac:dyDescent="0.25">
      <c r="A2291" t="s">
        <v>4545</v>
      </c>
      <c r="B2291" t="s">
        <v>33</v>
      </c>
      <c r="C2291" t="s">
        <v>4546</v>
      </c>
      <c r="D2291" t="s">
        <v>106</v>
      </c>
    </row>
    <row r="2292" spans="1:4" x14ac:dyDescent="0.25">
      <c r="A2292" t="s">
        <v>4547</v>
      </c>
      <c r="B2292" t="s">
        <v>33</v>
      </c>
      <c r="C2292" t="s">
        <v>4548</v>
      </c>
      <c r="D2292" t="s">
        <v>106</v>
      </c>
    </row>
    <row r="2293" spans="1:4" x14ac:dyDescent="0.25">
      <c r="A2293" t="s">
        <v>4549</v>
      </c>
      <c r="B2293" t="s">
        <v>33</v>
      </c>
      <c r="C2293" t="s">
        <v>4550</v>
      </c>
      <c r="D2293" t="s">
        <v>106</v>
      </c>
    </row>
    <row r="2294" spans="1:4" x14ac:dyDescent="0.25">
      <c r="A2294" t="s">
        <v>4551</v>
      </c>
      <c r="B2294" t="s">
        <v>33</v>
      </c>
      <c r="C2294" t="s">
        <v>4552</v>
      </c>
      <c r="D2294" t="s">
        <v>106</v>
      </c>
    </row>
    <row r="2295" spans="1:4" x14ac:dyDescent="0.25">
      <c r="A2295" t="s">
        <v>4553</v>
      </c>
      <c r="B2295" t="s">
        <v>33</v>
      </c>
      <c r="C2295" t="s">
        <v>4554</v>
      </c>
      <c r="D2295" t="s">
        <v>106</v>
      </c>
    </row>
    <row r="2296" spans="1:4" x14ac:dyDescent="0.25">
      <c r="A2296" t="s">
        <v>4555</v>
      </c>
      <c r="B2296" t="s">
        <v>33</v>
      </c>
      <c r="C2296" t="s">
        <v>4556</v>
      </c>
      <c r="D2296" t="s">
        <v>106</v>
      </c>
    </row>
    <row r="2297" spans="1:4" x14ac:dyDescent="0.25">
      <c r="A2297" t="s">
        <v>4557</v>
      </c>
      <c r="B2297" t="s">
        <v>33</v>
      </c>
      <c r="C2297" t="s">
        <v>4558</v>
      </c>
      <c r="D2297" t="s">
        <v>106</v>
      </c>
    </row>
    <row r="2298" spans="1:4" x14ac:dyDescent="0.25">
      <c r="A2298" t="s">
        <v>4559</v>
      </c>
      <c r="B2298" t="s">
        <v>33</v>
      </c>
      <c r="C2298" t="s">
        <v>4560</v>
      </c>
      <c r="D2298" t="s">
        <v>106</v>
      </c>
    </row>
    <row r="2299" spans="1:4" x14ac:dyDescent="0.25">
      <c r="A2299" t="s">
        <v>4561</v>
      </c>
      <c r="B2299" t="s">
        <v>33</v>
      </c>
      <c r="C2299" t="s">
        <v>4562</v>
      </c>
      <c r="D2299" t="s">
        <v>106</v>
      </c>
    </row>
    <row r="2300" spans="1:4" x14ac:dyDescent="0.25">
      <c r="A2300" t="s">
        <v>4563</v>
      </c>
      <c r="B2300" t="s">
        <v>33</v>
      </c>
      <c r="C2300" t="s">
        <v>4564</v>
      </c>
      <c r="D2300" t="s">
        <v>106</v>
      </c>
    </row>
    <row r="2301" spans="1:4" x14ac:dyDescent="0.25">
      <c r="A2301" t="s">
        <v>4565</v>
      </c>
      <c r="B2301" t="s">
        <v>33</v>
      </c>
      <c r="C2301" t="s">
        <v>4566</v>
      </c>
      <c r="D2301" t="s">
        <v>106</v>
      </c>
    </row>
    <row r="2302" spans="1:4" x14ac:dyDescent="0.25">
      <c r="A2302" t="s">
        <v>4567</v>
      </c>
      <c r="B2302" t="s">
        <v>33</v>
      </c>
      <c r="C2302" t="s">
        <v>4568</v>
      </c>
      <c r="D2302" t="s">
        <v>106</v>
      </c>
    </row>
    <row r="2303" spans="1:4" x14ac:dyDescent="0.25">
      <c r="A2303" t="s">
        <v>4569</v>
      </c>
      <c r="B2303" t="s">
        <v>33</v>
      </c>
      <c r="C2303" t="s">
        <v>4570</v>
      </c>
      <c r="D2303" t="s">
        <v>106</v>
      </c>
    </row>
    <row r="2304" spans="1:4" x14ac:dyDescent="0.25">
      <c r="A2304" t="s">
        <v>4571</v>
      </c>
      <c r="B2304" t="s">
        <v>33</v>
      </c>
      <c r="C2304" t="s">
        <v>4572</v>
      </c>
      <c r="D2304" t="s">
        <v>106</v>
      </c>
    </row>
    <row r="2305" spans="1:4" x14ac:dyDescent="0.25">
      <c r="A2305" t="s">
        <v>4573</v>
      </c>
      <c r="B2305" t="s">
        <v>33</v>
      </c>
      <c r="C2305" t="s">
        <v>4574</v>
      </c>
      <c r="D2305" t="s">
        <v>106</v>
      </c>
    </row>
    <row r="2306" spans="1:4" x14ac:dyDescent="0.25">
      <c r="A2306" t="s">
        <v>4575</v>
      </c>
      <c r="B2306" t="s">
        <v>33</v>
      </c>
      <c r="C2306" t="s">
        <v>4576</v>
      </c>
      <c r="D2306" t="s">
        <v>106</v>
      </c>
    </row>
    <row r="2307" spans="1:4" x14ac:dyDescent="0.25">
      <c r="A2307" t="s">
        <v>4577</v>
      </c>
      <c r="B2307" t="s">
        <v>33</v>
      </c>
      <c r="C2307" t="s">
        <v>4578</v>
      </c>
      <c r="D2307" t="s">
        <v>106</v>
      </c>
    </row>
    <row r="2308" spans="1:4" x14ac:dyDescent="0.25">
      <c r="A2308" t="s">
        <v>4579</v>
      </c>
      <c r="B2308" t="s">
        <v>33</v>
      </c>
      <c r="C2308" t="s">
        <v>4580</v>
      </c>
      <c r="D2308" t="s">
        <v>106</v>
      </c>
    </row>
    <row r="2309" spans="1:4" x14ac:dyDescent="0.25">
      <c r="A2309" t="s">
        <v>4581</v>
      </c>
      <c r="B2309" t="s">
        <v>33</v>
      </c>
      <c r="C2309" t="s">
        <v>4582</v>
      </c>
      <c r="D2309" t="s">
        <v>106</v>
      </c>
    </row>
    <row r="2310" spans="1:4" x14ac:dyDescent="0.25">
      <c r="A2310" t="s">
        <v>4583</v>
      </c>
      <c r="B2310" t="s">
        <v>33</v>
      </c>
      <c r="C2310" t="s">
        <v>4584</v>
      </c>
      <c r="D2310" t="s">
        <v>106</v>
      </c>
    </row>
    <row r="2311" spans="1:4" x14ac:dyDescent="0.25">
      <c r="A2311" t="s">
        <v>4585</v>
      </c>
      <c r="B2311" t="s">
        <v>33</v>
      </c>
      <c r="C2311" t="s">
        <v>4586</v>
      </c>
      <c r="D2311" t="s">
        <v>106</v>
      </c>
    </row>
    <row r="2312" spans="1:4" x14ac:dyDescent="0.25">
      <c r="A2312" t="s">
        <v>4587</v>
      </c>
      <c r="B2312" t="s">
        <v>33</v>
      </c>
      <c r="C2312" t="s">
        <v>4588</v>
      </c>
      <c r="D2312" t="s">
        <v>106</v>
      </c>
    </row>
    <row r="2313" spans="1:4" x14ac:dyDescent="0.25">
      <c r="A2313" t="s">
        <v>4589</v>
      </c>
      <c r="B2313" t="s">
        <v>33</v>
      </c>
      <c r="C2313" t="s">
        <v>4590</v>
      </c>
      <c r="D2313" t="s">
        <v>106</v>
      </c>
    </row>
    <row r="2314" spans="1:4" x14ac:dyDescent="0.25">
      <c r="A2314" t="s">
        <v>4591</v>
      </c>
      <c r="B2314" t="s">
        <v>33</v>
      </c>
      <c r="C2314" t="s">
        <v>4592</v>
      </c>
      <c r="D2314" t="s">
        <v>106</v>
      </c>
    </row>
    <row r="2315" spans="1:4" x14ac:dyDescent="0.25">
      <c r="A2315" t="s">
        <v>4593</v>
      </c>
      <c r="B2315" t="s">
        <v>33</v>
      </c>
      <c r="C2315" t="s">
        <v>4594</v>
      </c>
      <c r="D2315" t="s">
        <v>106</v>
      </c>
    </row>
    <row r="2316" spans="1:4" x14ac:dyDescent="0.25">
      <c r="A2316" t="s">
        <v>4595</v>
      </c>
      <c r="B2316" t="s">
        <v>33</v>
      </c>
      <c r="C2316" t="s">
        <v>4596</v>
      </c>
      <c r="D2316" t="s">
        <v>106</v>
      </c>
    </row>
    <row r="2317" spans="1:4" x14ac:dyDescent="0.25">
      <c r="A2317" t="s">
        <v>4597</v>
      </c>
      <c r="B2317" t="s">
        <v>33</v>
      </c>
      <c r="C2317" t="s">
        <v>4598</v>
      </c>
      <c r="D2317" t="s">
        <v>106</v>
      </c>
    </row>
    <row r="2318" spans="1:4" x14ac:dyDescent="0.25">
      <c r="A2318" t="s">
        <v>4599</v>
      </c>
      <c r="B2318" t="s">
        <v>33</v>
      </c>
      <c r="C2318" t="s">
        <v>4600</v>
      </c>
      <c r="D2318" t="s">
        <v>106</v>
      </c>
    </row>
    <row r="2319" spans="1:4" x14ac:dyDescent="0.25">
      <c r="A2319" t="s">
        <v>4601</v>
      </c>
      <c r="B2319" t="s">
        <v>33</v>
      </c>
      <c r="C2319" t="s">
        <v>4602</v>
      </c>
      <c r="D2319" t="s">
        <v>106</v>
      </c>
    </row>
    <row r="2320" spans="1:4" x14ac:dyDescent="0.25">
      <c r="A2320" t="s">
        <v>4603</v>
      </c>
      <c r="B2320" t="s">
        <v>33</v>
      </c>
      <c r="C2320" t="s">
        <v>4604</v>
      </c>
      <c r="D2320" t="s">
        <v>106</v>
      </c>
    </row>
    <row r="2321" spans="1:4" x14ac:dyDescent="0.25">
      <c r="A2321" t="s">
        <v>4605</v>
      </c>
      <c r="B2321" t="s">
        <v>33</v>
      </c>
      <c r="C2321" t="s">
        <v>4606</v>
      </c>
      <c r="D2321" t="s">
        <v>106</v>
      </c>
    </row>
    <row r="2322" spans="1:4" x14ac:dyDescent="0.25">
      <c r="A2322" t="s">
        <v>4607</v>
      </c>
      <c r="B2322" t="s">
        <v>33</v>
      </c>
      <c r="C2322" t="s">
        <v>4608</v>
      </c>
      <c r="D2322" t="s">
        <v>106</v>
      </c>
    </row>
    <row r="2323" spans="1:4" x14ac:dyDescent="0.25">
      <c r="A2323" t="s">
        <v>4609</v>
      </c>
      <c r="B2323" t="s">
        <v>33</v>
      </c>
      <c r="C2323" t="s">
        <v>4610</v>
      </c>
      <c r="D2323" t="s">
        <v>106</v>
      </c>
    </row>
    <row r="2324" spans="1:4" x14ac:dyDescent="0.25">
      <c r="A2324" t="s">
        <v>4611</v>
      </c>
      <c r="B2324" t="s">
        <v>33</v>
      </c>
      <c r="C2324" t="s">
        <v>4612</v>
      </c>
      <c r="D2324" t="s">
        <v>106</v>
      </c>
    </row>
    <row r="2325" spans="1:4" x14ac:dyDescent="0.25">
      <c r="A2325" t="s">
        <v>4613</v>
      </c>
      <c r="B2325" t="s">
        <v>33</v>
      </c>
      <c r="C2325" t="s">
        <v>4614</v>
      </c>
      <c r="D2325" t="s">
        <v>106</v>
      </c>
    </row>
    <row r="2326" spans="1:4" x14ac:dyDescent="0.25">
      <c r="A2326" t="s">
        <v>4615</v>
      </c>
      <c r="B2326" t="s">
        <v>33</v>
      </c>
      <c r="C2326" t="s">
        <v>4616</v>
      </c>
      <c r="D2326" t="s">
        <v>106</v>
      </c>
    </row>
    <row r="2327" spans="1:4" x14ac:dyDescent="0.25">
      <c r="A2327" t="s">
        <v>4617</v>
      </c>
      <c r="B2327" t="s">
        <v>33</v>
      </c>
      <c r="C2327" t="s">
        <v>4618</v>
      </c>
      <c r="D2327" t="s">
        <v>106</v>
      </c>
    </row>
    <row r="2328" spans="1:4" x14ac:dyDescent="0.25">
      <c r="A2328" t="s">
        <v>4619</v>
      </c>
      <c r="B2328" t="s">
        <v>33</v>
      </c>
      <c r="C2328" t="s">
        <v>4620</v>
      </c>
      <c r="D2328" t="s">
        <v>106</v>
      </c>
    </row>
    <row r="2329" spans="1:4" x14ac:dyDescent="0.25">
      <c r="A2329" t="s">
        <v>4621</v>
      </c>
      <c r="B2329" t="s">
        <v>33</v>
      </c>
      <c r="C2329" t="s">
        <v>4622</v>
      </c>
      <c r="D2329" t="s">
        <v>106</v>
      </c>
    </row>
    <row r="2330" spans="1:4" x14ac:dyDescent="0.25">
      <c r="A2330" t="s">
        <v>4623</v>
      </c>
      <c r="B2330" t="s">
        <v>33</v>
      </c>
      <c r="C2330" t="s">
        <v>4624</v>
      </c>
      <c r="D2330" t="s">
        <v>106</v>
      </c>
    </row>
    <row r="2331" spans="1:4" x14ac:dyDescent="0.25">
      <c r="A2331" t="s">
        <v>4625</v>
      </c>
      <c r="B2331" t="s">
        <v>33</v>
      </c>
      <c r="C2331" t="s">
        <v>4626</v>
      </c>
      <c r="D2331" t="s">
        <v>106</v>
      </c>
    </row>
    <row r="2332" spans="1:4" x14ac:dyDescent="0.25">
      <c r="A2332" t="s">
        <v>4627</v>
      </c>
      <c r="B2332" t="s">
        <v>33</v>
      </c>
      <c r="C2332" t="s">
        <v>4628</v>
      </c>
      <c r="D2332" t="s">
        <v>106</v>
      </c>
    </row>
    <row r="2333" spans="1:4" x14ac:dyDescent="0.25">
      <c r="A2333" t="s">
        <v>4629</v>
      </c>
      <c r="B2333" t="s">
        <v>33</v>
      </c>
      <c r="C2333" t="s">
        <v>4630</v>
      </c>
      <c r="D2333" t="s">
        <v>106</v>
      </c>
    </row>
    <row r="2334" spans="1:4" x14ac:dyDescent="0.25">
      <c r="A2334" t="s">
        <v>4631</v>
      </c>
      <c r="B2334" t="s">
        <v>33</v>
      </c>
      <c r="C2334" t="s">
        <v>4632</v>
      </c>
      <c r="D2334" t="s">
        <v>106</v>
      </c>
    </row>
    <row r="2335" spans="1:4" x14ac:dyDescent="0.25">
      <c r="A2335" t="s">
        <v>4633</v>
      </c>
      <c r="B2335" t="s">
        <v>33</v>
      </c>
      <c r="C2335" t="s">
        <v>4634</v>
      </c>
      <c r="D2335" t="s">
        <v>106</v>
      </c>
    </row>
    <row r="2336" spans="1:4" x14ac:dyDescent="0.25">
      <c r="A2336" t="s">
        <v>4635</v>
      </c>
      <c r="B2336" t="s">
        <v>33</v>
      </c>
      <c r="C2336" t="s">
        <v>4636</v>
      </c>
      <c r="D2336" t="s">
        <v>106</v>
      </c>
    </row>
    <row r="2337" spans="1:4" x14ac:dyDescent="0.25">
      <c r="A2337" t="s">
        <v>4637</v>
      </c>
      <c r="B2337" t="s">
        <v>33</v>
      </c>
      <c r="C2337" t="s">
        <v>4638</v>
      </c>
      <c r="D2337" t="s">
        <v>106</v>
      </c>
    </row>
    <row r="2338" spans="1:4" x14ac:dyDescent="0.25">
      <c r="A2338" t="s">
        <v>4639</v>
      </c>
      <c r="B2338" t="s">
        <v>33</v>
      </c>
      <c r="C2338" t="s">
        <v>4640</v>
      </c>
      <c r="D2338" t="s">
        <v>106</v>
      </c>
    </row>
    <row r="2339" spans="1:4" x14ac:dyDescent="0.25">
      <c r="A2339" t="s">
        <v>4641</v>
      </c>
      <c r="B2339" t="s">
        <v>33</v>
      </c>
      <c r="C2339" t="s">
        <v>4642</v>
      </c>
      <c r="D2339" t="s">
        <v>106</v>
      </c>
    </row>
    <row r="2340" spans="1:4" x14ac:dyDescent="0.25">
      <c r="A2340" t="s">
        <v>4643</v>
      </c>
      <c r="B2340" t="s">
        <v>33</v>
      </c>
      <c r="C2340" t="s">
        <v>4644</v>
      </c>
      <c r="D2340" t="s">
        <v>106</v>
      </c>
    </row>
    <row r="2341" spans="1:4" x14ac:dyDescent="0.25">
      <c r="A2341" t="s">
        <v>4645</v>
      </c>
      <c r="B2341" t="s">
        <v>33</v>
      </c>
      <c r="C2341" t="s">
        <v>4646</v>
      </c>
      <c r="D2341" t="s">
        <v>106</v>
      </c>
    </row>
    <row r="2342" spans="1:4" x14ac:dyDescent="0.25">
      <c r="A2342" t="s">
        <v>4647</v>
      </c>
      <c r="B2342" t="s">
        <v>33</v>
      </c>
      <c r="C2342" t="s">
        <v>4648</v>
      </c>
      <c r="D2342" t="s">
        <v>106</v>
      </c>
    </row>
    <row r="2343" spans="1:4" x14ac:dyDescent="0.25">
      <c r="A2343" t="s">
        <v>4649</v>
      </c>
      <c r="B2343" t="s">
        <v>33</v>
      </c>
      <c r="C2343" t="s">
        <v>4650</v>
      </c>
      <c r="D2343" t="s">
        <v>106</v>
      </c>
    </row>
    <row r="2344" spans="1:4" x14ac:dyDescent="0.25">
      <c r="A2344" t="s">
        <v>4651</v>
      </c>
      <c r="B2344" t="s">
        <v>33</v>
      </c>
      <c r="C2344" t="s">
        <v>4652</v>
      </c>
      <c r="D2344" t="s">
        <v>106</v>
      </c>
    </row>
    <row r="2345" spans="1:4" x14ac:dyDescent="0.25">
      <c r="A2345" t="s">
        <v>4653</v>
      </c>
      <c r="B2345" t="s">
        <v>33</v>
      </c>
      <c r="C2345" t="s">
        <v>4654</v>
      </c>
      <c r="D2345" t="s">
        <v>106</v>
      </c>
    </row>
    <row r="2346" spans="1:4" x14ac:dyDescent="0.25">
      <c r="A2346" t="s">
        <v>4655</v>
      </c>
      <c r="B2346" t="s">
        <v>33</v>
      </c>
      <c r="C2346" t="s">
        <v>4656</v>
      </c>
      <c r="D2346" t="s">
        <v>106</v>
      </c>
    </row>
    <row r="2347" spans="1:4" x14ac:dyDescent="0.25">
      <c r="A2347" t="s">
        <v>4657</v>
      </c>
      <c r="B2347" t="s">
        <v>33</v>
      </c>
      <c r="C2347" t="s">
        <v>4658</v>
      </c>
      <c r="D2347" t="s">
        <v>106</v>
      </c>
    </row>
    <row r="2348" spans="1:4" x14ac:dyDescent="0.25">
      <c r="A2348" t="s">
        <v>4659</v>
      </c>
      <c r="B2348" t="s">
        <v>33</v>
      </c>
      <c r="C2348" t="s">
        <v>4660</v>
      </c>
      <c r="D2348" t="s">
        <v>106</v>
      </c>
    </row>
    <row r="2349" spans="1:4" x14ac:dyDescent="0.25">
      <c r="A2349" t="s">
        <v>4661</v>
      </c>
      <c r="B2349" t="s">
        <v>33</v>
      </c>
      <c r="C2349" t="s">
        <v>4662</v>
      </c>
      <c r="D2349" t="s">
        <v>106</v>
      </c>
    </row>
    <row r="2350" spans="1:4" x14ac:dyDescent="0.25">
      <c r="A2350" t="s">
        <v>4663</v>
      </c>
      <c r="B2350" t="s">
        <v>33</v>
      </c>
      <c r="C2350" t="s">
        <v>4664</v>
      </c>
      <c r="D2350" t="s">
        <v>106</v>
      </c>
    </row>
    <row r="2351" spans="1:4" x14ac:dyDescent="0.25">
      <c r="A2351" t="s">
        <v>4665</v>
      </c>
      <c r="B2351" t="s">
        <v>33</v>
      </c>
      <c r="C2351" t="s">
        <v>4666</v>
      </c>
      <c r="D2351" t="s">
        <v>106</v>
      </c>
    </row>
    <row r="2352" spans="1:4" x14ac:dyDescent="0.25">
      <c r="A2352" t="s">
        <v>4667</v>
      </c>
      <c r="B2352" t="s">
        <v>33</v>
      </c>
      <c r="C2352" t="s">
        <v>4668</v>
      </c>
      <c r="D2352" t="s">
        <v>106</v>
      </c>
    </row>
    <row r="2353" spans="1:4" x14ac:dyDescent="0.25">
      <c r="A2353" t="s">
        <v>4669</v>
      </c>
      <c r="B2353" t="s">
        <v>33</v>
      </c>
      <c r="C2353" t="s">
        <v>4670</v>
      </c>
      <c r="D2353" t="s">
        <v>106</v>
      </c>
    </row>
    <row r="2354" spans="1:4" x14ac:dyDescent="0.25">
      <c r="A2354" t="s">
        <v>4671</v>
      </c>
      <c r="B2354" t="s">
        <v>33</v>
      </c>
      <c r="C2354" t="s">
        <v>4672</v>
      </c>
      <c r="D2354" t="s">
        <v>106</v>
      </c>
    </row>
    <row r="2355" spans="1:4" x14ac:dyDescent="0.25">
      <c r="A2355" t="s">
        <v>4673</v>
      </c>
      <c r="B2355" t="s">
        <v>33</v>
      </c>
      <c r="C2355" t="s">
        <v>4674</v>
      </c>
      <c r="D2355" t="s">
        <v>106</v>
      </c>
    </row>
    <row r="2356" spans="1:4" x14ac:dyDescent="0.25">
      <c r="A2356" t="s">
        <v>4675</v>
      </c>
      <c r="B2356" t="s">
        <v>33</v>
      </c>
      <c r="C2356" t="s">
        <v>4676</v>
      </c>
      <c r="D2356" t="s">
        <v>106</v>
      </c>
    </row>
    <row r="2357" spans="1:4" x14ac:dyDescent="0.25">
      <c r="A2357" t="s">
        <v>4677</v>
      </c>
      <c r="B2357" t="s">
        <v>33</v>
      </c>
      <c r="C2357" t="s">
        <v>4678</v>
      </c>
      <c r="D2357" t="s">
        <v>106</v>
      </c>
    </row>
    <row r="2358" spans="1:4" x14ac:dyDescent="0.25">
      <c r="A2358" t="s">
        <v>4679</v>
      </c>
      <c r="B2358" t="s">
        <v>33</v>
      </c>
      <c r="C2358" t="s">
        <v>4680</v>
      </c>
      <c r="D2358" t="s">
        <v>106</v>
      </c>
    </row>
    <row r="2359" spans="1:4" x14ac:dyDescent="0.25">
      <c r="A2359" t="s">
        <v>4681</v>
      </c>
      <c r="B2359" t="s">
        <v>33</v>
      </c>
      <c r="C2359" t="s">
        <v>4682</v>
      </c>
      <c r="D2359" t="s">
        <v>106</v>
      </c>
    </row>
    <row r="2360" spans="1:4" x14ac:dyDescent="0.25">
      <c r="A2360" t="s">
        <v>4683</v>
      </c>
      <c r="B2360" t="s">
        <v>33</v>
      </c>
      <c r="C2360" t="s">
        <v>4684</v>
      </c>
      <c r="D2360" t="s">
        <v>106</v>
      </c>
    </row>
    <row r="2361" spans="1:4" x14ac:dyDescent="0.25">
      <c r="A2361" t="s">
        <v>4685</v>
      </c>
      <c r="B2361" t="s">
        <v>33</v>
      </c>
      <c r="C2361" t="s">
        <v>4686</v>
      </c>
      <c r="D2361" t="s">
        <v>106</v>
      </c>
    </row>
    <row r="2362" spans="1:4" x14ac:dyDescent="0.25">
      <c r="A2362" t="s">
        <v>4687</v>
      </c>
      <c r="B2362" t="s">
        <v>33</v>
      </c>
      <c r="C2362" t="s">
        <v>4688</v>
      </c>
      <c r="D2362" t="s">
        <v>106</v>
      </c>
    </row>
    <row r="2363" spans="1:4" x14ac:dyDescent="0.25">
      <c r="A2363" t="s">
        <v>4689</v>
      </c>
      <c r="B2363" t="s">
        <v>33</v>
      </c>
      <c r="C2363" t="s">
        <v>4690</v>
      </c>
      <c r="D2363" t="s">
        <v>106</v>
      </c>
    </row>
    <row r="2364" spans="1:4" x14ac:dyDescent="0.25">
      <c r="A2364" t="s">
        <v>4691</v>
      </c>
      <c r="B2364" t="s">
        <v>33</v>
      </c>
      <c r="C2364" t="s">
        <v>4692</v>
      </c>
      <c r="D2364" t="s">
        <v>106</v>
      </c>
    </row>
    <row r="2365" spans="1:4" x14ac:dyDescent="0.25">
      <c r="A2365" t="s">
        <v>4693</v>
      </c>
      <c r="B2365" t="s">
        <v>33</v>
      </c>
      <c r="C2365" t="s">
        <v>4694</v>
      </c>
      <c r="D2365" t="s">
        <v>106</v>
      </c>
    </row>
    <row r="2366" spans="1:4" x14ac:dyDescent="0.25">
      <c r="A2366" t="s">
        <v>4695</v>
      </c>
      <c r="B2366" t="s">
        <v>33</v>
      </c>
      <c r="C2366" t="s">
        <v>4696</v>
      </c>
      <c r="D2366" t="s">
        <v>106</v>
      </c>
    </row>
    <row r="2367" spans="1:4" x14ac:dyDescent="0.25">
      <c r="A2367" t="s">
        <v>4697</v>
      </c>
      <c r="B2367" t="s">
        <v>33</v>
      </c>
      <c r="C2367" t="s">
        <v>4698</v>
      </c>
      <c r="D2367" t="s">
        <v>106</v>
      </c>
    </row>
    <row r="2368" spans="1:4" x14ac:dyDescent="0.25">
      <c r="A2368" t="s">
        <v>4699</v>
      </c>
      <c r="B2368" t="s">
        <v>33</v>
      </c>
      <c r="C2368" t="s">
        <v>4700</v>
      </c>
      <c r="D2368" t="s">
        <v>106</v>
      </c>
    </row>
    <row r="2369" spans="1:4" x14ac:dyDescent="0.25">
      <c r="A2369" t="s">
        <v>4701</v>
      </c>
      <c r="B2369" t="s">
        <v>33</v>
      </c>
      <c r="C2369" t="s">
        <v>4702</v>
      </c>
      <c r="D2369" t="s">
        <v>106</v>
      </c>
    </row>
    <row r="2370" spans="1:4" x14ac:dyDescent="0.25">
      <c r="A2370" t="s">
        <v>4703</v>
      </c>
      <c r="B2370" t="s">
        <v>33</v>
      </c>
      <c r="C2370" t="s">
        <v>4704</v>
      </c>
      <c r="D2370" t="s">
        <v>106</v>
      </c>
    </row>
    <row r="2371" spans="1:4" x14ac:dyDescent="0.25">
      <c r="A2371" t="s">
        <v>4705</v>
      </c>
      <c r="B2371" t="s">
        <v>33</v>
      </c>
      <c r="C2371" t="s">
        <v>4706</v>
      </c>
      <c r="D2371" t="s">
        <v>106</v>
      </c>
    </row>
    <row r="2372" spans="1:4" x14ac:dyDescent="0.25">
      <c r="A2372" t="s">
        <v>4707</v>
      </c>
      <c r="B2372" t="s">
        <v>33</v>
      </c>
      <c r="C2372" t="s">
        <v>4708</v>
      </c>
      <c r="D2372" t="s">
        <v>106</v>
      </c>
    </row>
    <row r="2373" spans="1:4" x14ac:dyDescent="0.25">
      <c r="A2373" t="s">
        <v>4709</v>
      </c>
      <c r="B2373" t="s">
        <v>33</v>
      </c>
      <c r="C2373" t="s">
        <v>4710</v>
      </c>
      <c r="D2373" t="s">
        <v>106</v>
      </c>
    </row>
    <row r="2374" spans="1:4" x14ac:dyDescent="0.25">
      <c r="A2374" t="s">
        <v>4711</v>
      </c>
      <c r="B2374" t="s">
        <v>33</v>
      </c>
      <c r="C2374" t="s">
        <v>4712</v>
      </c>
      <c r="D2374" t="s">
        <v>106</v>
      </c>
    </row>
    <row r="2375" spans="1:4" x14ac:dyDescent="0.25">
      <c r="A2375" t="s">
        <v>4713</v>
      </c>
      <c r="B2375" t="s">
        <v>33</v>
      </c>
      <c r="C2375" t="s">
        <v>4714</v>
      </c>
      <c r="D2375" t="s">
        <v>106</v>
      </c>
    </row>
    <row r="2376" spans="1:4" x14ac:dyDescent="0.25">
      <c r="A2376" t="s">
        <v>4715</v>
      </c>
      <c r="B2376" t="s">
        <v>33</v>
      </c>
      <c r="C2376" t="s">
        <v>4716</v>
      </c>
      <c r="D2376" t="s">
        <v>106</v>
      </c>
    </row>
    <row r="2377" spans="1:4" x14ac:dyDescent="0.25">
      <c r="A2377" t="s">
        <v>4717</v>
      </c>
      <c r="B2377" t="s">
        <v>33</v>
      </c>
      <c r="C2377" t="s">
        <v>4718</v>
      </c>
      <c r="D2377" t="s">
        <v>106</v>
      </c>
    </row>
    <row r="2378" spans="1:4" x14ac:dyDescent="0.25">
      <c r="A2378" t="s">
        <v>4719</v>
      </c>
      <c r="B2378" t="s">
        <v>33</v>
      </c>
      <c r="C2378" t="s">
        <v>4720</v>
      </c>
      <c r="D2378" t="s">
        <v>106</v>
      </c>
    </row>
    <row r="2379" spans="1:4" x14ac:dyDescent="0.25">
      <c r="A2379" t="s">
        <v>4721</v>
      </c>
      <c r="B2379" t="s">
        <v>33</v>
      </c>
      <c r="C2379" t="s">
        <v>4722</v>
      </c>
      <c r="D2379" t="s">
        <v>106</v>
      </c>
    </row>
    <row r="2380" spans="1:4" x14ac:dyDescent="0.25">
      <c r="A2380" t="s">
        <v>4723</v>
      </c>
      <c r="B2380" t="s">
        <v>33</v>
      </c>
      <c r="C2380" t="s">
        <v>4724</v>
      </c>
      <c r="D2380" t="s">
        <v>106</v>
      </c>
    </row>
    <row r="2381" spans="1:4" x14ac:dyDescent="0.25">
      <c r="A2381" t="s">
        <v>4725</v>
      </c>
      <c r="B2381" t="s">
        <v>33</v>
      </c>
      <c r="C2381" t="s">
        <v>4726</v>
      </c>
      <c r="D2381" t="s">
        <v>106</v>
      </c>
    </row>
    <row r="2382" spans="1:4" x14ac:dyDescent="0.25">
      <c r="A2382" t="s">
        <v>4727</v>
      </c>
      <c r="B2382" t="s">
        <v>33</v>
      </c>
      <c r="C2382" t="s">
        <v>4728</v>
      </c>
      <c r="D2382" t="s">
        <v>106</v>
      </c>
    </row>
    <row r="2383" spans="1:4" x14ac:dyDescent="0.25">
      <c r="A2383" t="s">
        <v>4729</v>
      </c>
      <c r="B2383" t="s">
        <v>33</v>
      </c>
      <c r="C2383" t="s">
        <v>4730</v>
      </c>
      <c r="D2383" t="s">
        <v>106</v>
      </c>
    </row>
    <row r="2384" spans="1:4" x14ac:dyDescent="0.25">
      <c r="A2384" t="s">
        <v>4731</v>
      </c>
      <c r="B2384" t="s">
        <v>33</v>
      </c>
      <c r="C2384" t="s">
        <v>4732</v>
      </c>
      <c r="D2384" t="s">
        <v>106</v>
      </c>
    </row>
    <row r="2385" spans="1:4" x14ac:dyDescent="0.25">
      <c r="A2385" t="s">
        <v>4733</v>
      </c>
      <c r="B2385" t="s">
        <v>33</v>
      </c>
      <c r="C2385" t="s">
        <v>4734</v>
      </c>
      <c r="D2385" t="s">
        <v>106</v>
      </c>
    </row>
    <row r="2386" spans="1:4" x14ac:dyDescent="0.25">
      <c r="A2386" t="s">
        <v>4735</v>
      </c>
      <c r="B2386" t="s">
        <v>33</v>
      </c>
      <c r="C2386" t="s">
        <v>4736</v>
      </c>
      <c r="D2386" t="s">
        <v>106</v>
      </c>
    </row>
    <row r="2387" spans="1:4" x14ac:dyDescent="0.25">
      <c r="A2387" t="s">
        <v>4737</v>
      </c>
      <c r="B2387" t="s">
        <v>33</v>
      </c>
      <c r="C2387" t="s">
        <v>4738</v>
      </c>
      <c r="D2387" t="s">
        <v>106</v>
      </c>
    </row>
    <row r="2388" spans="1:4" x14ac:dyDescent="0.25">
      <c r="A2388" t="s">
        <v>4739</v>
      </c>
      <c r="B2388" t="s">
        <v>33</v>
      </c>
      <c r="C2388" t="s">
        <v>4740</v>
      </c>
      <c r="D2388" t="s">
        <v>106</v>
      </c>
    </row>
    <row r="2389" spans="1:4" x14ac:dyDescent="0.25">
      <c r="A2389" t="s">
        <v>4741</v>
      </c>
      <c r="B2389" t="s">
        <v>33</v>
      </c>
      <c r="C2389" t="s">
        <v>4742</v>
      </c>
      <c r="D2389" t="s">
        <v>106</v>
      </c>
    </row>
    <row r="2390" spans="1:4" x14ac:dyDescent="0.25">
      <c r="A2390" t="s">
        <v>4743</v>
      </c>
      <c r="B2390" t="s">
        <v>33</v>
      </c>
      <c r="C2390" t="s">
        <v>4744</v>
      </c>
      <c r="D2390" t="s">
        <v>106</v>
      </c>
    </row>
    <row r="2391" spans="1:4" x14ac:dyDescent="0.25">
      <c r="A2391" t="s">
        <v>4745</v>
      </c>
      <c r="B2391" t="s">
        <v>33</v>
      </c>
      <c r="C2391" t="s">
        <v>4746</v>
      </c>
      <c r="D2391" t="s">
        <v>106</v>
      </c>
    </row>
    <row r="2392" spans="1:4" x14ac:dyDescent="0.25">
      <c r="A2392" t="s">
        <v>4747</v>
      </c>
      <c r="B2392" t="s">
        <v>33</v>
      </c>
      <c r="C2392" t="s">
        <v>4748</v>
      </c>
      <c r="D2392" t="s">
        <v>106</v>
      </c>
    </row>
    <row r="2393" spans="1:4" x14ac:dyDescent="0.25">
      <c r="A2393" t="s">
        <v>4749</v>
      </c>
      <c r="B2393" t="s">
        <v>33</v>
      </c>
      <c r="C2393" t="s">
        <v>4750</v>
      </c>
      <c r="D2393" t="s">
        <v>106</v>
      </c>
    </row>
    <row r="2394" spans="1:4" x14ac:dyDescent="0.25">
      <c r="A2394" t="s">
        <v>4751</v>
      </c>
      <c r="B2394" t="s">
        <v>33</v>
      </c>
      <c r="C2394" t="s">
        <v>4752</v>
      </c>
      <c r="D2394" t="s">
        <v>106</v>
      </c>
    </row>
    <row r="2395" spans="1:4" x14ac:dyDescent="0.25">
      <c r="A2395" t="s">
        <v>4753</v>
      </c>
      <c r="B2395" t="s">
        <v>33</v>
      </c>
      <c r="C2395" t="s">
        <v>4754</v>
      </c>
      <c r="D2395" t="s">
        <v>106</v>
      </c>
    </row>
    <row r="2396" spans="1:4" x14ac:dyDescent="0.25">
      <c r="A2396" t="s">
        <v>4755</v>
      </c>
      <c r="B2396" t="s">
        <v>33</v>
      </c>
      <c r="C2396" t="s">
        <v>4756</v>
      </c>
      <c r="D2396" t="s">
        <v>106</v>
      </c>
    </row>
    <row r="2397" spans="1:4" x14ac:dyDescent="0.25">
      <c r="A2397" t="s">
        <v>4757</v>
      </c>
      <c r="B2397" t="s">
        <v>33</v>
      </c>
      <c r="C2397" t="s">
        <v>4758</v>
      </c>
      <c r="D2397" t="s">
        <v>106</v>
      </c>
    </row>
    <row r="2398" spans="1:4" x14ac:dyDescent="0.25">
      <c r="A2398" t="s">
        <v>4759</v>
      </c>
      <c r="B2398" t="s">
        <v>33</v>
      </c>
      <c r="C2398" t="s">
        <v>4760</v>
      </c>
      <c r="D2398" t="s">
        <v>106</v>
      </c>
    </row>
    <row r="2399" spans="1:4" x14ac:dyDescent="0.25">
      <c r="A2399" t="s">
        <v>4761</v>
      </c>
      <c r="B2399" t="s">
        <v>33</v>
      </c>
      <c r="C2399" t="s">
        <v>4762</v>
      </c>
      <c r="D2399" t="s">
        <v>106</v>
      </c>
    </row>
    <row r="2400" spans="1:4" x14ac:dyDescent="0.25">
      <c r="A2400" t="s">
        <v>4763</v>
      </c>
      <c r="B2400" t="s">
        <v>33</v>
      </c>
      <c r="C2400" t="s">
        <v>4764</v>
      </c>
      <c r="D2400" t="s">
        <v>106</v>
      </c>
    </row>
    <row r="2401" spans="1:4" x14ac:dyDescent="0.25">
      <c r="A2401" t="s">
        <v>4765</v>
      </c>
      <c r="B2401" t="s">
        <v>33</v>
      </c>
      <c r="C2401" t="s">
        <v>4766</v>
      </c>
      <c r="D2401" t="s">
        <v>106</v>
      </c>
    </row>
    <row r="2402" spans="1:4" x14ac:dyDescent="0.25">
      <c r="A2402" t="s">
        <v>4767</v>
      </c>
      <c r="B2402" t="s">
        <v>33</v>
      </c>
      <c r="C2402" t="s">
        <v>4768</v>
      </c>
      <c r="D2402" t="s">
        <v>106</v>
      </c>
    </row>
    <row r="2403" spans="1:4" x14ac:dyDescent="0.25">
      <c r="A2403" t="s">
        <v>4769</v>
      </c>
      <c r="B2403" t="s">
        <v>33</v>
      </c>
      <c r="C2403" t="s">
        <v>4770</v>
      </c>
      <c r="D2403" t="s">
        <v>106</v>
      </c>
    </row>
    <row r="2404" spans="1:4" x14ac:dyDescent="0.25">
      <c r="A2404" t="s">
        <v>4771</v>
      </c>
      <c r="B2404" t="s">
        <v>33</v>
      </c>
      <c r="C2404" t="s">
        <v>4772</v>
      </c>
      <c r="D2404" t="s">
        <v>106</v>
      </c>
    </row>
    <row r="2405" spans="1:4" x14ac:dyDescent="0.25">
      <c r="A2405" t="s">
        <v>4773</v>
      </c>
      <c r="B2405" t="s">
        <v>33</v>
      </c>
      <c r="C2405" t="s">
        <v>4774</v>
      </c>
      <c r="D2405" t="s">
        <v>106</v>
      </c>
    </row>
    <row r="2406" spans="1:4" x14ac:dyDescent="0.25">
      <c r="A2406" t="s">
        <v>4775</v>
      </c>
      <c r="B2406" t="s">
        <v>33</v>
      </c>
      <c r="C2406" t="s">
        <v>4776</v>
      </c>
      <c r="D2406" t="s">
        <v>106</v>
      </c>
    </row>
    <row r="2407" spans="1:4" x14ac:dyDescent="0.25">
      <c r="A2407" t="s">
        <v>4777</v>
      </c>
      <c r="B2407" t="s">
        <v>33</v>
      </c>
      <c r="C2407" t="s">
        <v>4778</v>
      </c>
      <c r="D2407" t="s">
        <v>106</v>
      </c>
    </row>
    <row r="2408" spans="1:4" x14ac:dyDescent="0.25">
      <c r="A2408" t="s">
        <v>4779</v>
      </c>
      <c r="B2408" t="s">
        <v>33</v>
      </c>
      <c r="C2408" t="s">
        <v>4780</v>
      </c>
      <c r="D2408" t="s">
        <v>106</v>
      </c>
    </row>
    <row r="2409" spans="1:4" x14ac:dyDescent="0.25">
      <c r="A2409" t="s">
        <v>4781</v>
      </c>
      <c r="B2409" t="s">
        <v>33</v>
      </c>
      <c r="C2409" t="s">
        <v>4782</v>
      </c>
      <c r="D2409" t="s">
        <v>106</v>
      </c>
    </row>
    <row r="2410" spans="1:4" x14ac:dyDescent="0.25">
      <c r="A2410" t="s">
        <v>4783</v>
      </c>
      <c r="B2410" t="s">
        <v>33</v>
      </c>
      <c r="C2410" t="s">
        <v>4784</v>
      </c>
      <c r="D2410" t="s">
        <v>106</v>
      </c>
    </row>
    <row r="2411" spans="1:4" x14ac:dyDescent="0.25">
      <c r="A2411" t="s">
        <v>4785</v>
      </c>
      <c r="B2411" t="s">
        <v>33</v>
      </c>
      <c r="C2411" t="s">
        <v>4786</v>
      </c>
      <c r="D2411" t="s">
        <v>106</v>
      </c>
    </row>
    <row r="2412" spans="1:4" x14ac:dyDescent="0.25">
      <c r="A2412" t="s">
        <v>4787</v>
      </c>
      <c r="B2412" t="s">
        <v>33</v>
      </c>
      <c r="C2412" t="s">
        <v>4788</v>
      </c>
      <c r="D2412" t="s">
        <v>106</v>
      </c>
    </row>
    <row r="2413" spans="1:4" x14ac:dyDescent="0.25">
      <c r="A2413" t="s">
        <v>4789</v>
      </c>
      <c r="B2413" t="s">
        <v>33</v>
      </c>
      <c r="C2413" t="s">
        <v>4790</v>
      </c>
      <c r="D2413" t="s">
        <v>106</v>
      </c>
    </row>
    <row r="2414" spans="1:4" x14ac:dyDescent="0.25">
      <c r="A2414" t="s">
        <v>4791</v>
      </c>
      <c r="B2414" t="s">
        <v>33</v>
      </c>
      <c r="C2414" t="s">
        <v>4792</v>
      </c>
      <c r="D2414" t="s">
        <v>106</v>
      </c>
    </row>
    <row r="2415" spans="1:4" x14ac:dyDescent="0.25">
      <c r="A2415" t="s">
        <v>4793</v>
      </c>
      <c r="B2415" t="s">
        <v>33</v>
      </c>
      <c r="C2415" t="s">
        <v>4794</v>
      </c>
      <c r="D2415" t="s">
        <v>106</v>
      </c>
    </row>
    <row r="2416" spans="1:4" x14ac:dyDescent="0.25">
      <c r="A2416" t="s">
        <v>4795</v>
      </c>
      <c r="B2416" t="s">
        <v>33</v>
      </c>
      <c r="C2416" t="s">
        <v>4796</v>
      </c>
      <c r="D2416" t="s">
        <v>106</v>
      </c>
    </row>
    <row r="2417" spans="1:4" x14ac:dyDescent="0.25">
      <c r="A2417" t="s">
        <v>4797</v>
      </c>
      <c r="B2417" t="s">
        <v>33</v>
      </c>
      <c r="C2417" t="s">
        <v>4798</v>
      </c>
      <c r="D2417" t="s">
        <v>106</v>
      </c>
    </row>
    <row r="2418" spans="1:4" x14ac:dyDescent="0.25">
      <c r="A2418" t="s">
        <v>4799</v>
      </c>
      <c r="B2418" t="s">
        <v>33</v>
      </c>
      <c r="C2418" t="s">
        <v>4800</v>
      </c>
      <c r="D2418" t="s">
        <v>106</v>
      </c>
    </row>
    <row r="2419" spans="1:4" x14ac:dyDescent="0.25">
      <c r="A2419" t="s">
        <v>4801</v>
      </c>
      <c r="B2419" t="s">
        <v>33</v>
      </c>
      <c r="C2419" t="s">
        <v>4802</v>
      </c>
      <c r="D2419" t="s">
        <v>106</v>
      </c>
    </row>
    <row r="2420" spans="1:4" x14ac:dyDescent="0.25">
      <c r="A2420" t="s">
        <v>4803</v>
      </c>
      <c r="B2420" t="s">
        <v>33</v>
      </c>
      <c r="C2420" t="s">
        <v>4804</v>
      </c>
      <c r="D2420" t="s">
        <v>106</v>
      </c>
    </row>
    <row r="2421" spans="1:4" x14ac:dyDescent="0.25">
      <c r="A2421" t="s">
        <v>4805</v>
      </c>
      <c r="B2421" t="s">
        <v>33</v>
      </c>
      <c r="C2421" t="s">
        <v>4806</v>
      </c>
      <c r="D2421" t="s">
        <v>106</v>
      </c>
    </row>
    <row r="2422" spans="1:4" x14ac:dyDescent="0.25">
      <c r="A2422" t="s">
        <v>4807</v>
      </c>
      <c r="B2422" t="s">
        <v>33</v>
      </c>
      <c r="C2422" t="s">
        <v>4808</v>
      </c>
      <c r="D2422" t="s">
        <v>106</v>
      </c>
    </row>
    <row r="2423" spans="1:4" x14ac:dyDescent="0.25">
      <c r="A2423" t="s">
        <v>4809</v>
      </c>
      <c r="B2423" t="s">
        <v>33</v>
      </c>
      <c r="C2423" t="s">
        <v>4810</v>
      </c>
      <c r="D2423" t="s">
        <v>106</v>
      </c>
    </row>
    <row r="2424" spans="1:4" x14ac:dyDescent="0.25">
      <c r="A2424" t="s">
        <v>4811</v>
      </c>
      <c r="B2424" t="s">
        <v>33</v>
      </c>
      <c r="C2424" t="s">
        <v>4812</v>
      </c>
      <c r="D2424" t="s">
        <v>106</v>
      </c>
    </row>
    <row r="2425" spans="1:4" x14ac:dyDescent="0.25">
      <c r="A2425" t="s">
        <v>4813</v>
      </c>
      <c r="B2425" t="s">
        <v>33</v>
      </c>
      <c r="C2425" t="s">
        <v>4814</v>
      </c>
      <c r="D2425" t="s">
        <v>106</v>
      </c>
    </row>
    <row r="2426" spans="1:4" x14ac:dyDescent="0.25">
      <c r="A2426" t="s">
        <v>4815</v>
      </c>
      <c r="B2426" t="s">
        <v>33</v>
      </c>
      <c r="C2426" t="s">
        <v>4816</v>
      </c>
      <c r="D2426" t="s">
        <v>106</v>
      </c>
    </row>
    <row r="2427" spans="1:4" x14ac:dyDescent="0.25">
      <c r="A2427" t="s">
        <v>4817</v>
      </c>
      <c r="B2427" t="s">
        <v>33</v>
      </c>
      <c r="C2427" t="s">
        <v>4818</v>
      </c>
      <c r="D2427" t="s">
        <v>106</v>
      </c>
    </row>
    <row r="2428" spans="1:4" x14ac:dyDescent="0.25">
      <c r="A2428" t="s">
        <v>4819</v>
      </c>
      <c r="B2428" t="s">
        <v>33</v>
      </c>
      <c r="C2428" t="s">
        <v>4820</v>
      </c>
      <c r="D2428" t="s">
        <v>106</v>
      </c>
    </row>
    <row r="2429" spans="1:4" x14ac:dyDescent="0.25">
      <c r="A2429" t="s">
        <v>4821</v>
      </c>
      <c r="B2429" t="s">
        <v>33</v>
      </c>
      <c r="C2429" t="s">
        <v>4822</v>
      </c>
      <c r="D2429" t="s">
        <v>106</v>
      </c>
    </row>
    <row r="2430" spans="1:4" x14ac:dyDescent="0.25">
      <c r="A2430" t="s">
        <v>4823</v>
      </c>
      <c r="B2430" t="s">
        <v>33</v>
      </c>
      <c r="C2430" t="s">
        <v>4824</v>
      </c>
      <c r="D2430" t="s">
        <v>106</v>
      </c>
    </row>
    <row r="2431" spans="1:4" x14ac:dyDescent="0.25">
      <c r="A2431" t="s">
        <v>4825</v>
      </c>
      <c r="B2431" t="s">
        <v>33</v>
      </c>
      <c r="C2431" t="s">
        <v>4826</v>
      </c>
      <c r="D2431" t="s">
        <v>106</v>
      </c>
    </row>
    <row r="2432" spans="1:4" x14ac:dyDescent="0.25">
      <c r="A2432" t="s">
        <v>4827</v>
      </c>
      <c r="B2432" t="s">
        <v>33</v>
      </c>
      <c r="C2432" t="s">
        <v>4828</v>
      </c>
      <c r="D2432" t="s">
        <v>106</v>
      </c>
    </row>
    <row r="2433" spans="1:4" x14ac:dyDescent="0.25">
      <c r="A2433" t="s">
        <v>4829</v>
      </c>
      <c r="B2433" t="s">
        <v>33</v>
      </c>
      <c r="C2433" t="s">
        <v>4830</v>
      </c>
      <c r="D2433" t="s">
        <v>106</v>
      </c>
    </row>
    <row r="2434" spans="1:4" x14ac:dyDescent="0.25">
      <c r="A2434" t="s">
        <v>4831</v>
      </c>
      <c r="B2434" t="s">
        <v>33</v>
      </c>
      <c r="C2434" t="s">
        <v>4832</v>
      </c>
      <c r="D2434" t="s">
        <v>106</v>
      </c>
    </row>
    <row r="2435" spans="1:4" x14ac:dyDescent="0.25">
      <c r="A2435" t="s">
        <v>4833</v>
      </c>
      <c r="B2435" t="s">
        <v>33</v>
      </c>
      <c r="C2435" t="s">
        <v>4834</v>
      </c>
      <c r="D2435" t="s">
        <v>106</v>
      </c>
    </row>
    <row r="2436" spans="1:4" x14ac:dyDescent="0.25">
      <c r="A2436" t="s">
        <v>4835</v>
      </c>
      <c r="B2436" t="s">
        <v>33</v>
      </c>
      <c r="C2436" t="s">
        <v>4836</v>
      </c>
      <c r="D2436" t="s">
        <v>106</v>
      </c>
    </row>
    <row r="2437" spans="1:4" x14ac:dyDescent="0.25">
      <c r="A2437" t="s">
        <v>4837</v>
      </c>
      <c r="B2437" t="s">
        <v>33</v>
      </c>
      <c r="C2437" t="s">
        <v>4838</v>
      </c>
      <c r="D2437" t="s">
        <v>106</v>
      </c>
    </row>
    <row r="2438" spans="1:4" x14ac:dyDescent="0.25">
      <c r="A2438" t="s">
        <v>4839</v>
      </c>
      <c r="B2438" t="s">
        <v>33</v>
      </c>
      <c r="C2438" t="s">
        <v>4840</v>
      </c>
      <c r="D2438" t="s">
        <v>106</v>
      </c>
    </row>
    <row r="2439" spans="1:4" x14ac:dyDescent="0.25">
      <c r="A2439" t="s">
        <v>4841</v>
      </c>
      <c r="B2439" t="s">
        <v>33</v>
      </c>
      <c r="C2439" t="s">
        <v>4842</v>
      </c>
      <c r="D2439" t="s">
        <v>106</v>
      </c>
    </row>
    <row r="2440" spans="1:4" x14ac:dyDescent="0.25">
      <c r="A2440" t="s">
        <v>4843</v>
      </c>
      <c r="B2440" t="s">
        <v>33</v>
      </c>
      <c r="C2440" t="s">
        <v>4844</v>
      </c>
      <c r="D2440" t="s">
        <v>106</v>
      </c>
    </row>
    <row r="2441" spans="1:4" x14ac:dyDescent="0.25">
      <c r="A2441" t="s">
        <v>4845</v>
      </c>
      <c r="B2441" t="s">
        <v>33</v>
      </c>
      <c r="C2441" t="s">
        <v>4846</v>
      </c>
      <c r="D2441" t="s">
        <v>106</v>
      </c>
    </row>
    <row r="2442" spans="1:4" x14ac:dyDescent="0.25">
      <c r="A2442" t="s">
        <v>4847</v>
      </c>
      <c r="B2442" t="s">
        <v>33</v>
      </c>
      <c r="C2442" t="s">
        <v>4848</v>
      </c>
      <c r="D2442" t="s">
        <v>106</v>
      </c>
    </row>
    <row r="2443" spans="1:4" x14ac:dyDescent="0.25">
      <c r="A2443" t="s">
        <v>4849</v>
      </c>
      <c r="B2443" t="s">
        <v>33</v>
      </c>
      <c r="C2443" t="s">
        <v>4850</v>
      </c>
      <c r="D2443" t="s">
        <v>106</v>
      </c>
    </row>
    <row r="2444" spans="1:4" x14ac:dyDescent="0.25">
      <c r="A2444" t="s">
        <v>4851</v>
      </c>
      <c r="B2444" t="s">
        <v>33</v>
      </c>
      <c r="C2444" t="s">
        <v>4852</v>
      </c>
      <c r="D2444" t="s">
        <v>106</v>
      </c>
    </row>
    <row r="2445" spans="1:4" x14ac:dyDescent="0.25">
      <c r="A2445" t="s">
        <v>4853</v>
      </c>
      <c r="B2445" t="s">
        <v>33</v>
      </c>
      <c r="C2445" t="s">
        <v>4854</v>
      </c>
      <c r="D2445" t="s">
        <v>106</v>
      </c>
    </row>
    <row r="2446" spans="1:4" x14ac:dyDescent="0.25">
      <c r="A2446" t="s">
        <v>4855</v>
      </c>
      <c r="B2446" t="s">
        <v>33</v>
      </c>
      <c r="C2446" t="s">
        <v>4856</v>
      </c>
      <c r="D2446" t="s">
        <v>106</v>
      </c>
    </row>
    <row r="2447" spans="1:4" x14ac:dyDescent="0.25">
      <c r="A2447" t="s">
        <v>4857</v>
      </c>
      <c r="B2447" t="s">
        <v>33</v>
      </c>
      <c r="C2447" t="s">
        <v>4858</v>
      </c>
      <c r="D2447" t="s">
        <v>106</v>
      </c>
    </row>
    <row r="2448" spans="1:4" x14ac:dyDescent="0.25">
      <c r="A2448" t="s">
        <v>4859</v>
      </c>
      <c r="B2448" t="s">
        <v>33</v>
      </c>
      <c r="C2448" t="s">
        <v>4860</v>
      </c>
      <c r="D2448" t="s">
        <v>106</v>
      </c>
    </row>
    <row r="2449" spans="1:4" x14ac:dyDescent="0.25">
      <c r="A2449" t="s">
        <v>4861</v>
      </c>
      <c r="B2449" t="s">
        <v>33</v>
      </c>
      <c r="C2449" t="s">
        <v>4862</v>
      </c>
      <c r="D2449" t="s">
        <v>106</v>
      </c>
    </row>
    <row r="2450" spans="1:4" x14ac:dyDescent="0.25">
      <c r="A2450" t="s">
        <v>4863</v>
      </c>
      <c r="B2450" t="s">
        <v>33</v>
      </c>
      <c r="C2450" t="s">
        <v>4864</v>
      </c>
      <c r="D2450" t="s">
        <v>106</v>
      </c>
    </row>
    <row r="2451" spans="1:4" x14ac:dyDescent="0.25">
      <c r="A2451" t="s">
        <v>4865</v>
      </c>
      <c r="B2451" t="s">
        <v>33</v>
      </c>
      <c r="C2451" t="s">
        <v>4866</v>
      </c>
      <c r="D2451" t="s">
        <v>106</v>
      </c>
    </row>
    <row r="2452" spans="1:4" x14ac:dyDescent="0.25">
      <c r="A2452" t="s">
        <v>4867</v>
      </c>
      <c r="B2452" t="s">
        <v>33</v>
      </c>
      <c r="C2452" t="s">
        <v>4868</v>
      </c>
      <c r="D2452" t="s">
        <v>106</v>
      </c>
    </row>
    <row r="2453" spans="1:4" x14ac:dyDescent="0.25">
      <c r="A2453" t="s">
        <v>4869</v>
      </c>
      <c r="B2453" t="s">
        <v>33</v>
      </c>
      <c r="C2453" t="s">
        <v>4870</v>
      </c>
      <c r="D2453" t="s">
        <v>106</v>
      </c>
    </row>
    <row r="2454" spans="1:4" x14ac:dyDescent="0.25">
      <c r="A2454" t="s">
        <v>4871</v>
      </c>
      <c r="B2454" t="s">
        <v>33</v>
      </c>
      <c r="C2454" t="s">
        <v>4872</v>
      </c>
      <c r="D2454" t="s">
        <v>106</v>
      </c>
    </row>
    <row r="2455" spans="1:4" x14ac:dyDescent="0.25">
      <c r="A2455" t="s">
        <v>4873</v>
      </c>
      <c r="B2455" t="s">
        <v>33</v>
      </c>
      <c r="C2455" t="s">
        <v>4874</v>
      </c>
      <c r="D2455" t="s">
        <v>106</v>
      </c>
    </row>
    <row r="2456" spans="1:4" x14ac:dyDescent="0.25">
      <c r="A2456" t="s">
        <v>4875</v>
      </c>
      <c r="B2456" t="s">
        <v>33</v>
      </c>
      <c r="C2456" t="s">
        <v>4876</v>
      </c>
      <c r="D2456" t="s">
        <v>106</v>
      </c>
    </row>
    <row r="2457" spans="1:4" x14ac:dyDescent="0.25">
      <c r="A2457" t="s">
        <v>4877</v>
      </c>
      <c r="B2457" t="s">
        <v>33</v>
      </c>
      <c r="C2457" t="s">
        <v>4878</v>
      </c>
      <c r="D2457" t="s">
        <v>106</v>
      </c>
    </row>
    <row r="2458" spans="1:4" x14ac:dyDescent="0.25">
      <c r="A2458" t="s">
        <v>4879</v>
      </c>
      <c r="B2458" t="s">
        <v>33</v>
      </c>
      <c r="C2458" t="s">
        <v>4880</v>
      </c>
      <c r="D2458" t="s">
        <v>106</v>
      </c>
    </row>
    <row r="2459" spans="1:4" x14ac:dyDescent="0.25">
      <c r="A2459" t="s">
        <v>4881</v>
      </c>
      <c r="B2459" t="s">
        <v>33</v>
      </c>
      <c r="C2459" t="s">
        <v>4882</v>
      </c>
      <c r="D2459" t="s">
        <v>106</v>
      </c>
    </row>
    <row r="2460" spans="1:4" x14ac:dyDescent="0.25">
      <c r="A2460" t="s">
        <v>4883</v>
      </c>
      <c r="B2460" t="s">
        <v>33</v>
      </c>
      <c r="C2460" t="s">
        <v>4884</v>
      </c>
      <c r="D2460" t="s">
        <v>106</v>
      </c>
    </row>
    <row r="2461" spans="1:4" x14ac:dyDescent="0.25">
      <c r="A2461" t="s">
        <v>4885</v>
      </c>
      <c r="B2461" t="s">
        <v>33</v>
      </c>
      <c r="C2461" t="s">
        <v>4886</v>
      </c>
      <c r="D2461" t="s">
        <v>106</v>
      </c>
    </row>
    <row r="2462" spans="1:4" x14ac:dyDescent="0.25">
      <c r="A2462" t="s">
        <v>4887</v>
      </c>
      <c r="B2462" t="s">
        <v>33</v>
      </c>
      <c r="C2462" t="s">
        <v>4888</v>
      </c>
      <c r="D2462" t="s">
        <v>106</v>
      </c>
    </row>
    <row r="2463" spans="1:4" x14ac:dyDescent="0.25">
      <c r="A2463" t="s">
        <v>4889</v>
      </c>
      <c r="B2463" t="s">
        <v>33</v>
      </c>
      <c r="C2463" t="s">
        <v>4890</v>
      </c>
      <c r="D2463" t="s">
        <v>106</v>
      </c>
    </row>
    <row r="2464" spans="1:4" x14ac:dyDescent="0.25">
      <c r="A2464" t="s">
        <v>4891</v>
      </c>
      <c r="B2464" t="s">
        <v>33</v>
      </c>
      <c r="C2464" t="s">
        <v>4892</v>
      </c>
      <c r="D2464" t="s">
        <v>106</v>
      </c>
    </row>
    <row r="2465" spans="1:4" x14ac:dyDescent="0.25">
      <c r="A2465" t="s">
        <v>4893</v>
      </c>
      <c r="B2465" t="s">
        <v>33</v>
      </c>
      <c r="C2465" t="s">
        <v>4894</v>
      </c>
      <c r="D2465" t="s">
        <v>106</v>
      </c>
    </row>
    <row r="2466" spans="1:4" x14ac:dyDescent="0.25">
      <c r="A2466" t="s">
        <v>4895</v>
      </c>
      <c r="B2466" t="s">
        <v>33</v>
      </c>
      <c r="C2466" t="s">
        <v>4896</v>
      </c>
      <c r="D2466" t="s">
        <v>106</v>
      </c>
    </row>
    <row r="2467" spans="1:4" x14ac:dyDescent="0.25">
      <c r="A2467" t="s">
        <v>4897</v>
      </c>
      <c r="B2467" t="s">
        <v>33</v>
      </c>
      <c r="C2467" t="s">
        <v>4898</v>
      </c>
      <c r="D2467" t="s">
        <v>106</v>
      </c>
    </row>
    <row r="2468" spans="1:4" x14ac:dyDescent="0.25">
      <c r="A2468" t="s">
        <v>4899</v>
      </c>
      <c r="B2468" t="s">
        <v>33</v>
      </c>
      <c r="C2468" t="s">
        <v>4900</v>
      </c>
      <c r="D2468" t="s">
        <v>106</v>
      </c>
    </row>
    <row r="2469" spans="1:4" x14ac:dyDescent="0.25">
      <c r="A2469" t="s">
        <v>4901</v>
      </c>
      <c r="B2469" t="s">
        <v>33</v>
      </c>
      <c r="C2469" t="s">
        <v>4902</v>
      </c>
      <c r="D2469" t="s">
        <v>106</v>
      </c>
    </row>
    <row r="2470" spans="1:4" x14ac:dyDescent="0.25">
      <c r="A2470" t="s">
        <v>4903</v>
      </c>
      <c r="B2470" t="s">
        <v>33</v>
      </c>
      <c r="C2470" t="s">
        <v>4904</v>
      </c>
      <c r="D2470" t="s">
        <v>106</v>
      </c>
    </row>
    <row r="2471" spans="1:4" x14ac:dyDescent="0.25">
      <c r="A2471" t="s">
        <v>4905</v>
      </c>
      <c r="B2471" t="s">
        <v>33</v>
      </c>
      <c r="C2471" t="s">
        <v>4906</v>
      </c>
      <c r="D2471" t="s">
        <v>106</v>
      </c>
    </row>
    <row r="2472" spans="1:4" x14ac:dyDescent="0.25">
      <c r="A2472" t="s">
        <v>4907</v>
      </c>
      <c r="B2472" t="s">
        <v>33</v>
      </c>
      <c r="C2472" t="s">
        <v>4908</v>
      </c>
      <c r="D2472" t="s">
        <v>106</v>
      </c>
    </row>
    <row r="2473" spans="1:4" x14ac:dyDescent="0.25">
      <c r="A2473" t="s">
        <v>4909</v>
      </c>
      <c r="B2473" t="s">
        <v>33</v>
      </c>
      <c r="C2473" t="s">
        <v>4910</v>
      </c>
      <c r="D2473" t="s">
        <v>106</v>
      </c>
    </row>
    <row r="2474" spans="1:4" x14ac:dyDescent="0.25">
      <c r="A2474" t="s">
        <v>4911</v>
      </c>
      <c r="B2474" t="s">
        <v>33</v>
      </c>
      <c r="C2474" t="s">
        <v>4912</v>
      </c>
      <c r="D2474" t="s">
        <v>106</v>
      </c>
    </row>
    <row r="2475" spans="1:4" x14ac:dyDescent="0.25">
      <c r="A2475" t="s">
        <v>4913</v>
      </c>
      <c r="B2475" t="s">
        <v>33</v>
      </c>
      <c r="C2475" t="s">
        <v>4914</v>
      </c>
      <c r="D2475" t="s">
        <v>106</v>
      </c>
    </row>
    <row r="2476" spans="1:4" x14ac:dyDescent="0.25">
      <c r="A2476" t="s">
        <v>4915</v>
      </c>
      <c r="B2476" t="s">
        <v>33</v>
      </c>
      <c r="C2476" t="s">
        <v>4916</v>
      </c>
      <c r="D2476" t="s">
        <v>106</v>
      </c>
    </row>
    <row r="2477" spans="1:4" x14ac:dyDescent="0.25">
      <c r="A2477" t="s">
        <v>4917</v>
      </c>
      <c r="B2477" t="s">
        <v>33</v>
      </c>
      <c r="C2477" t="s">
        <v>4918</v>
      </c>
      <c r="D2477" t="s">
        <v>106</v>
      </c>
    </row>
    <row r="2478" spans="1:4" x14ac:dyDescent="0.25">
      <c r="A2478" t="s">
        <v>4919</v>
      </c>
      <c r="B2478" t="s">
        <v>33</v>
      </c>
      <c r="C2478" t="s">
        <v>4920</v>
      </c>
      <c r="D2478" t="s">
        <v>106</v>
      </c>
    </row>
    <row r="2479" spans="1:4" x14ac:dyDescent="0.25">
      <c r="A2479" t="s">
        <v>4921</v>
      </c>
      <c r="B2479" t="s">
        <v>33</v>
      </c>
      <c r="C2479" t="s">
        <v>4922</v>
      </c>
      <c r="D2479" t="s">
        <v>106</v>
      </c>
    </row>
    <row r="2480" spans="1:4" x14ac:dyDescent="0.25">
      <c r="A2480" t="s">
        <v>4923</v>
      </c>
      <c r="B2480" t="s">
        <v>33</v>
      </c>
      <c r="C2480" t="s">
        <v>4924</v>
      </c>
      <c r="D2480" t="s">
        <v>106</v>
      </c>
    </row>
    <row r="2481" spans="1:4" x14ac:dyDescent="0.25">
      <c r="A2481" t="s">
        <v>4925</v>
      </c>
      <c r="B2481" t="s">
        <v>33</v>
      </c>
      <c r="C2481" t="s">
        <v>4926</v>
      </c>
      <c r="D2481" t="s">
        <v>106</v>
      </c>
    </row>
    <row r="2482" spans="1:4" x14ac:dyDescent="0.25">
      <c r="A2482" t="s">
        <v>4927</v>
      </c>
      <c r="B2482" t="s">
        <v>33</v>
      </c>
      <c r="C2482" t="s">
        <v>4928</v>
      </c>
      <c r="D2482" t="s">
        <v>106</v>
      </c>
    </row>
    <row r="2483" spans="1:4" x14ac:dyDescent="0.25">
      <c r="A2483" t="s">
        <v>4929</v>
      </c>
      <c r="B2483" t="s">
        <v>33</v>
      </c>
      <c r="C2483" t="s">
        <v>4930</v>
      </c>
      <c r="D2483" t="s">
        <v>106</v>
      </c>
    </row>
    <row r="2484" spans="1:4" x14ac:dyDescent="0.25">
      <c r="A2484" t="s">
        <v>4931</v>
      </c>
      <c r="B2484" t="s">
        <v>33</v>
      </c>
      <c r="C2484" t="s">
        <v>4932</v>
      </c>
      <c r="D2484" t="s">
        <v>106</v>
      </c>
    </row>
    <row r="2485" spans="1:4" x14ac:dyDescent="0.25">
      <c r="A2485" t="s">
        <v>4933</v>
      </c>
      <c r="B2485" t="s">
        <v>33</v>
      </c>
      <c r="C2485" t="s">
        <v>4934</v>
      </c>
      <c r="D2485" t="s">
        <v>106</v>
      </c>
    </row>
    <row r="2486" spans="1:4" x14ac:dyDescent="0.25">
      <c r="A2486" t="s">
        <v>4935</v>
      </c>
      <c r="B2486" t="s">
        <v>33</v>
      </c>
      <c r="C2486" t="s">
        <v>4936</v>
      </c>
      <c r="D2486" t="s">
        <v>106</v>
      </c>
    </row>
    <row r="2487" spans="1:4" x14ac:dyDescent="0.25">
      <c r="A2487" t="s">
        <v>4937</v>
      </c>
      <c r="B2487" t="s">
        <v>33</v>
      </c>
      <c r="C2487" t="s">
        <v>4938</v>
      </c>
      <c r="D2487" t="s">
        <v>106</v>
      </c>
    </row>
    <row r="2488" spans="1:4" x14ac:dyDescent="0.25">
      <c r="A2488" t="s">
        <v>4939</v>
      </c>
      <c r="B2488" t="s">
        <v>33</v>
      </c>
      <c r="C2488" t="s">
        <v>4940</v>
      </c>
      <c r="D2488" t="s">
        <v>106</v>
      </c>
    </row>
    <row r="2489" spans="1:4" x14ac:dyDescent="0.25">
      <c r="A2489" t="s">
        <v>4941</v>
      </c>
      <c r="B2489" t="s">
        <v>33</v>
      </c>
      <c r="C2489" t="s">
        <v>4942</v>
      </c>
      <c r="D2489" t="s">
        <v>106</v>
      </c>
    </row>
    <row r="2490" spans="1:4" x14ac:dyDescent="0.25">
      <c r="A2490" t="s">
        <v>4943</v>
      </c>
      <c r="B2490" t="s">
        <v>33</v>
      </c>
      <c r="C2490" t="s">
        <v>4944</v>
      </c>
      <c r="D2490" t="s">
        <v>106</v>
      </c>
    </row>
    <row r="2491" spans="1:4" x14ac:dyDescent="0.25">
      <c r="A2491" t="s">
        <v>4945</v>
      </c>
      <c r="B2491" t="s">
        <v>33</v>
      </c>
      <c r="C2491" t="s">
        <v>4946</v>
      </c>
      <c r="D2491" t="s">
        <v>106</v>
      </c>
    </row>
    <row r="2492" spans="1:4" x14ac:dyDescent="0.25">
      <c r="A2492" t="s">
        <v>4947</v>
      </c>
      <c r="B2492" t="s">
        <v>33</v>
      </c>
      <c r="C2492" t="s">
        <v>4948</v>
      </c>
      <c r="D2492" t="s">
        <v>106</v>
      </c>
    </row>
    <row r="2493" spans="1:4" x14ac:dyDescent="0.25">
      <c r="A2493" t="s">
        <v>4949</v>
      </c>
      <c r="B2493" t="s">
        <v>33</v>
      </c>
      <c r="C2493" t="s">
        <v>4950</v>
      </c>
      <c r="D2493" t="s">
        <v>106</v>
      </c>
    </row>
    <row r="2494" spans="1:4" x14ac:dyDescent="0.25">
      <c r="A2494" t="s">
        <v>4951</v>
      </c>
      <c r="B2494" t="s">
        <v>33</v>
      </c>
      <c r="C2494" t="s">
        <v>4952</v>
      </c>
      <c r="D2494" t="s">
        <v>106</v>
      </c>
    </row>
    <row r="2495" spans="1:4" x14ac:dyDescent="0.25">
      <c r="A2495" t="s">
        <v>4953</v>
      </c>
      <c r="B2495" t="s">
        <v>33</v>
      </c>
      <c r="C2495" t="s">
        <v>4954</v>
      </c>
      <c r="D2495" t="s">
        <v>106</v>
      </c>
    </row>
    <row r="2496" spans="1:4" x14ac:dyDescent="0.25">
      <c r="A2496" t="s">
        <v>4955</v>
      </c>
      <c r="B2496" t="s">
        <v>33</v>
      </c>
      <c r="C2496" t="s">
        <v>4956</v>
      </c>
      <c r="D2496" t="s">
        <v>106</v>
      </c>
    </row>
    <row r="2497" spans="1:4" x14ac:dyDescent="0.25">
      <c r="A2497" t="s">
        <v>4957</v>
      </c>
      <c r="B2497" t="s">
        <v>33</v>
      </c>
      <c r="C2497" t="s">
        <v>4958</v>
      </c>
      <c r="D2497" t="s">
        <v>106</v>
      </c>
    </row>
    <row r="2498" spans="1:4" x14ac:dyDescent="0.25">
      <c r="A2498" t="s">
        <v>4959</v>
      </c>
      <c r="B2498" t="s">
        <v>33</v>
      </c>
      <c r="C2498" t="s">
        <v>4960</v>
      </c>
      <c r="D2498" t="s">
        <v>106</v>
      </c>
    </row>
    <row r="2499" spans="1:4" x14ac:dyDescent="0.25">
      <c r="A2499" t="s">
        <v>4961</v>
      </c>
      <c r="B2499" t="s">
        <v>33</v>
      </c>
      <c r="C2499" t="s">
        <v>4962</v>
      </c>
      <c r="D2499" t="s">
        <v>106</v>
      </c>
    </row>
    <row r="2500" spans="1:4" x14ac:dyDescent="0.25">
      <c r="A2500" t="s">
        <v>4963</v>
      </c>
      <c r="B2500" t="s">
        <v>33</v>
      </c>
      <c r="C2500" t="s">
        <v>4964</v>
      </c>
      <c r="D2500" t="s">
        <v>106</v>
      </c>
    </row>
    <row r="2501" spans="1:4" x14ac:dyDescent="0.25">
      <c r="A2501" t="s">
        <v>4965</v>
      </c>
      <c r="B2501" t="s">
        <v>33</v>
      </c>
      <c r="C2501" t="s">
        <v>4966</v>
      </c>
      <c r="D2501" t="s">
        <v>106</v>
      </c>
    </row>
    <row r="2502" spans="1:4" x14ac:dyDescent="0.25">
      <c r="A2502" t="s">
        <v>4967</v>
      </c>
      <c r="B2502" t="s">
        <v>33</v>
      </c>
      <c r="C2502" t="s">
        <v>4968</v>
      </c>
      <c r="D2502" t="s">
        <v>106</v>
      </c>
    </row>
    <row r="2503" spans="1:4" x14ac:dyDescent="0.25">
      <c r="A2503" t="s">
        <v>4969</v>
      </c>
      <c r="B2503" t="s">
        <v>33</v>
      </c>
      <c r="C2503" t="s">
        <v>4970</v>
      </c>
      <c r="D2503" t="s">
        <v>106</v>
      </c>
    </row>
    <row r="2504" spans="1:4" x14ac:dyDescent="0.25">
      <c r="A2504" t="s">
        <v>4971</v>
      </c>
      <c r="B2504" t="s">
        <v>33</v>
      </c>
      <c r="C2504" t="s">
        <v>4972</v>
      </c>
      <c r="D2504" t="s">
        <v>106</v>
      </c>
    </row>
    <row r="2505" spans="1:4" x14ac:dyDescent="0.25">
      <c r="A2505" t="s">
        <v>4973</v>
      </c>
      <c r="B2505" t="s">
        <v>33</v>
      </c>
      <c r="C2505" t="s">
        <v>4974</v>
      </c>
      <c r="D2505" t="s">
        <v>106</v>
      </c>
    </row>
    <row r="2506" spans="1:4" x14ac:dyDescent="0.25">
      <c r="A2506" t="s">
        <v>4975</v>
      </c>
      <c r="B2506" t="s">
        <v>33</v>
      </c>
      <c r="C2506" t="s">
        <v>4976</v>
      </c>
      <c r="D2506" t="s">
        <v>106</v>
      </c>
    </row>
    <row r="2507" spans="1:4" x14ac:dyDescent="0.25">
      <c r="A2507" t="s">
        <v>4977</v>
      </c>
      <c r="B2507" t="s">
        <v>33</v>
      </c>
      <c r="C2507" t="s">
        <v>4978</v>
      </c>
      <c r="D2507" t="s">
        <v>106</v>
      </c>
    </row>
    <row r="2508" spans="1:4" x14ac:dyDescent="0.25">
      <c r="A2508" t="s">
        <v>4979</v>
      </c>
      <c r="B2508" t="s">
        <v>33</v>
      </c>
      <c r="C2508" t="s">
        <v>4980</v>
      </c>
      <c r="D2508" t="s">
        <v>106</v>
      </c>
    </row>
    <row r="2509" spans="1:4" x14ac:dyDescent="0.25">
      <c r="A2509" t="s">
        <v>4981</v>
      </c>
      <c r="B2509" t="s">
        <v>33</v>
      </c>
      <c r="C2509" t="s">
        <v>4982</v>
      </c>
      <c r="D2509" t="s">
        <v>106</v>
      </c>
    </row>
    <row r="2510" spans="1:4" x14ac:dyDescent="0.25">
      <c r="A2510" t="s">
        <v>4983</v>
      </c>
      <c r="B2510" t="s">
        <v>33</v>
      </c>
      <c r="C2510" t="s">
        <v>4984</v>
      </c>
      <c r="D2510" t="s">
        <v>106</v>
      </c>
    </row>
    <row r="2511" spans="1:4" x14ac:dyDescent="0.25">
      <c r="A2511" t="s">
        <v>4985</v>
      </c>
      <c r="B2511" t="s">
        <v>33</v>
      </c>
      <c r="C2511" t="s">
        <v>4986</v>
      </c>
      <c r="D2511" t="s">
        <v>106</v>
      </c>
    </row>
    <row r="2512" spans="1:4" x14ac:dyDescent="0.25">
      <c r="A2512" t="s">
        <v>4987</v>
      </c>
      <c r="B2512" t="s">
        <v>33</v>
      </c>
      <c r="C2512" t="s">
        <v>4988</v>
      </c>
      <c r="D2512" t="s">
        <v>106</v>
      </c>
    </row>
    <row r="2513" spans="1:4" x14ac:dyDescent="0.25">
      <c r="A2513" t="s">
        <v>4989</v>
      </c>
      <c r="B2513" t="s">
        <v>33</v>
      </c>
      <c r="C2513" t="s">
        <v>4990</v>
      </c>
      <c r="D2513" t="s">
        <v>106</v>
      </c>
    </row>
    <row r="2514" spans="1:4" x14ac:dyDescent="0.25">
      <c r="A2514" t="s">
        <v>4991</v>
      </c>
      <c r="B2514" t="s">
        <v>33</v>
      </c>
      <c r="C2514" t="s">
        <v>4992</v>
      </c>
      <c r="D2514" t="s">
        <v>106</v>
      </c>
    </row>
    <row r="2515" spans="1:4" x14ac:dyDescent="0.25">
      <c r="A2515" t="s">
        <v>4993</v>
      </c>
      <c r="B2515" t="s">
        <v>33</v>
      </c>
      <c r="C2515" t="s">
        <v>4994</v>
      </c>
      <c r="D2515" t="s">
        <v>106</v>
      </c>
    </row>
    <row r="2516" spans="1:4" x14ac:dyDescent="0.25">
      <c r="A2516" t="s">
        <v>4995</v>
      </c>
      <c r="B2516" t="s">
        <v>33</v>
      </c>
      <c r="C2516" t="s">
        <v>4996</v>
      </c>
      <c r="D2516" t="s">
        <v>106</v>
      </c>
    </row>
    <row r="2517" spans="1:4" x14ac:dyDescent="0.25">
      <c r="A2517" t="s">
        <v>4997</v>
      </c>
      <c r="B2517" t="s">
        <v>33</v>
      </c>
      <c r="C2517" t="s">
        <v>4998</v>
      </c>
      <c r="D2517" t="s">
        <v>106</v>
      </c>
    </row>
    <row r="2518" spans="1:4" x14ac:dyDescent="0.25">
      <c r="A2518" t="s">
        <v>4999</v>
      </c>
      <c r="B2518" t="s">
        <v>33</v>
      </c>
      <c r="C2518" t="s">
        <v>5000</v>
      </c>
      <c r="D2518" t="s">
        <v>106</v>
      </c>
    </row>
    <row r="2519" spans="1:4" x14ac:dyDescent="0.25">
      <c r="A2519" t="s">
        <v>5001</v>
      </c>
      <c r="B2519" t="s">
        <v>33</v>
      </c>
      <c r="C2519" t="s">
        <v>5002</v>
      </c>
      <c r="D2519" t="s">
        <v>106</v>
      </c>
    </row>
    <row r="2520" spans="1:4" x14ac:dyDescent="0.25">
      <c r="A2520" t="s">
        <v>5003</v>
      </c>
      <c r="B2520" t="s">
        <v>33</v>
      </c>
      <c r="C2520" t="s">
        <v>5004</v>
      </c>
      <c r="D2520" t="s">
        <v>106</v>
      </c>
    </row>
    <row r="2521" spans="1:4" x14ac:dyDescent="0.25">
      <c r="A2521" t="s">
        <v>5005</v>
      </c>
      <c r="B2521" t="s">
        <v>33</v>
      </c>
      <c r="C2521" t="s">
        <v>5006</v>
      </c>
      <c r="D2521" t="s">
        <v>106</v>
      </c>
    </row>
    <row r="2522" spans="1:4" x14ac:dyDescent="0.25">
      <c r="A2522" t="s">
        <v>5007</v>
      </c>
      <c r="B2522" t="s">
        <v>33</v>
      </c>
      <c r="C2522" t="s">
        <v>5008</v>
      </c>
      <c r="D2522" t="s">
        <v>106</v>
      </c>
    </row>
    <row r="2523" spans="1:4" x14ac:dyDescent="0.25">
      <c r="A2523" t="s">
        <v>5009</v>
      </c>
      <c r="B2523" t="s">
        <v>33</v>
      </c>
      <c r="C2523" t="s">
        <v>5010</v>
      </c>
      <c r="D2523" t="s">
        <v>106</v>
      </c>
    </row>
    <row r="2524" spans="1:4" x14ac:dyDescent="0.25">
      <c r="A2524" t="s">
        <v>5011</v>
      </c>
      <c r="B2524" t="s">
        <v>33</v>
      </c>
      <c r="C2524" t="s">
        <v>5012</v>
      </c>
      <c r="D2524" t="s">
        <v>106</v>
      </c>
    </row>
    <row r="2525" spans="1:4" x14ac:dyDescent="0.25">
      <c r="A2525" t="s">
        <v>5013</v>
      </c>
      <c r="B2525" t="s">
        <v>33</v>
      </c>
      <c r="C2525" t="s">
        <v>5014</v>
      </c>
      <c r="D2525" t="s">
        <v>106</v>
      </c>
    </row>
    <row r="2526" spans="1:4" x14ac:dyDescent="0.25">
      <c r="A2526" t="s">
        <v>5015</v>
      </c>
      <c r="B2526" t="s">
        <v>33</v>
      </c>
      <c r="C2526" t="s">
        <v>5016</v>
      </c>
      <c r="D2526" t="s">
        <v>106</v>
      </c>
    </row>
    <row r="2527" spans="1:4" x14ac:dyDescent="0.25">
      <c r="A2527" t="s">
        <v>5017</v>
      </c>
      <c r="B2527" t="s">
        <v>33</v>
      </c>
      <c r="C2527" t="s">
        <v>5018</v>
      </c>
      <c r="D2527" t="s">
        <v>106</v>
      </c>
    </row>
    <row r="2528" spans="1:4" x14ac:dyDescent="0.25">
      <c r="A2528" t="s">
        <v>5019</v>
      </c>
      <c r="B2528" t="s">
        <v>33</v>
      </c>
      <c r="C2528" t="s">
        <v>5020</v>
      </c>
      <c r="D2528" t="s">
        <v>106</v>
      </c>
    </row>
    <row r="2529" spans="1:4" x14ac:dyDescent="0.25">
      <c r="A2529" t="s">
        <v>5021</v>
      </c>
      <c r="B2529" t="s">
        <v>33</v>
      </c>
      <c r="C2529" t="s">
        <v>5022</v>
      </c>
      <c r="D2529" t="s">
        <v>106</v>
      </c>
    </row>
    <row r="2530" spans="1:4" x14ac:dyDescent="0.25">
      <c r="A2530" t="s">
        <v>5023</v>
      </c>
      <c r="B2530" t="s">
        <v>33</v>
      </c>
      <c r="C2530" t="s">
        <v>5024</v>
      </c>
      <c r="D2530" t="s">
        <v>106</v>
      </c>
    </row>
    <row r="2531" spans="1:4" x14ac:dyDescent="0.25">
      <c r="A2531" t="s">
        <v>5025</v>
      </c>
      <c r="B2531" t="s">
        <v>33</v>
      </c>
      <c r="C2531" t="s">
        <v>5026</v>
      </c>
      <c r="D2531" t="s">
        <v>106</v>
      </c>
    </row>
    <row r="2532" spans="1:4" x14ac:dyDescent="0.25">
      <c r="A2532" t="s">
        <v>5027</v>
      </c>
      <c r="B2532" t="s">
        <v>33</v>
      </c>
      <c r="C2532" t="s">
        <v>5028</v>
      </c>
      <c r="D2532" t="s">
        <v>106</v>
      </c>
    </row>
    <row r="2533" spans="1:4" x14ac:dyDescent="0.25">
      <c r="A2533" t="s">
        <v>5029</v>
      </c>
      <c r="B2533" t="s">
        <v>33</v>
      </c>
      <c r="C2533" t="s">
        <v>5030</v>
      </c>
      <c r="D2533" t="s">
        <v>106</v>
      </c>
    </row>
    <row r="2534" spans="1:4" x14ac:dyDescent="0.25">
      <c r="A2534" t="s">
        <v>5031</v>
      </c>
      <c r="B2534" t="s">
        <v>33</v>
      </c>
      <c r="C2534" t="s">
        <v>5032</v>
      </c>
      <c r="D2534" t="s">
        <v>106</v>
      </c>
    </row>
    <row r="2535" spans="1:4" x14ac:dyDescent="0.25">
      <c r="A2535" t="s">
        <v>5033</v>
      </c>
      <c r="B2535" t="s">
        <v>33</v>
      </c>
      <c r="C2535" t="s">
        <v>5034</v>
      </c>
      <c r="D2535" t="s">
        <v>106</v>
      </c>
    </row>
    <row r="2536" spans="1:4" x14ac:dyDescent="0.25">
      <c r="A2536" t="s">
        <v>5035</v>
      </c>
      <c r="B2536" t="s">
        <v>33</v>
      </c>
      <c r="C2536" t="s">
        <v>5036</v>
      </c>
      <c r="D2536" t="s">
        <v>106</v>
      </c>
    </row>
    <row r="2537" spans="1:4" x14ac:dyDescent="0.25">
      <c r="A2537" t="s">
        <v>5037</v>
      </c>
      <c r="B2537" t="s">
        <v>33</v>
      </c>
      <c r="C2537" t="s">
        <v>5038</v>
      </c>
      <c r="D2537" t="s">
        <v>106</v>
      </c>
    </row>
    <row r="2538" spans="1:4" x14ac:dyDescent="0.25">
      <c r="A2538" t="s">
        <v>5039</v>
      </c>
      <c r="B2538" t="s">
        <v>33</v>
      </c>
      <c r="C2538" t="s">
        <v>5040</v>
      </c>
      <c r="D2538" t="s">
        <v>106</v>
      </c>
    </row>
    <row r="2539" spans="1:4" x14ac:dyDescent="0.25">
      <c r="A2539" t="s">
        <v>5041</v>
      </c>
      <c r="B2539" t="s">
        <v>33</v>
      </c>
      <c r="C2539" t="s">
        <v>5042</v>
      </c>
      <c r="D2539" t="s">
        <v>106</v>
      </c>
    </row>
    <row r="2540" spans="1:4" x14ac:dyDescent="0.25">
      <c r="A2540" t="s">
        <v>5043</v>
      </c>
      <c r="B2540" t="s">
        <v>33</v>
      </c>
      <c r="C2540" t="s">
        <v>5044</v>
      </c>
      <c r="D2540" t="s">
        <v>106</v>
      </c>
    </row>
    <row r="2541" spans="1:4" x14ac:dyDescent="0.25">
      <c r="A2541" t="s">
        <v>5045</v>
      </c>
      <c r="B2541" t="s">
        <v>33</v>
      </c>
      <c r="C2541" t="s">
        <v>5046</v>
      </c>
      <c r="D2541" t="s">
        <v>106</v>
      </c>
    </row>
    <row r="2542" spans="1:4" x14ac:dyDescent="0.25">
      <c r="A2542" t="s">
        <v>5047</v>
      </c>
      <c r="B2542" t="s">
        <v>33</v>
      </c>
      <c r="C2542" t="s">
        <v>5048</v>
      </c>
      <c r="D2542" t="s">
        <v>106</v>
      </c>
    </row>
    <row r="2543" spans="1:4" x14ac:dyDescent="0.25">
      <c r="A2543" t="s">
        <v>5049</v>
      </c>
      <c r="B2543" t="s">
        <v>33</v>
      </c>
      <c r="C2543" t="s">
        <v>5050</v>
      </c>
      <c r="D2543" t="s">
        <v>106</v>
      </c>
    </row>
    <row r="2544" spans="1:4" x14ac:dyDescent="0.25">
      <c r="A2544" t="s">
        <v>5051</v>
      </c>
      <c r="B2544" t="s">
        <v>33</v>
      </c>
      <c r="C2544" t="s">
        <v>5052</v>
      </c>
      <c r="D2544" t="s">
        <v>106</v>
      </c>
    </row>
    <row r="2545" spans="1:4" x14ac:dyDescent="0.25">
      <c r="A2545" t="s">
        <v>5053</v>
      </c>
      <c r="B2545" t="s">
        <v>33</v>
      </c>
      <c r="C2545" t="s">
        <v>5054</v>
      </c>
      <c r="D2545" t="s">
        <v>106</v>
      </c>
    </row>
    <row r="2546" spans="1:4" x14ac:dyDescent="0.25">
      <c r="A2546" t="s">
        <v>5055</v>
      </c>
      <c r="B2546" t="s">
        <v>33</v>
      </c>
      <c r="C2546" t="s">
        <v>5056</v>
      </c>
      <c r="D2546" t="s">
        <v>106</v>
      </c>
    </row>
    <row r="2547" spans="1:4" x14ac:dyDescent="0.25">
      <c r="A2547" t="s">
        <v>5057</v>
      </c>
      <c r="B2547" t="s">
        <v>33</v>
      </c>
      <c r="C2547" t="s">
        <v>5058</v>
      </c>
      <c r="D2547" t="s">
        <v>106</v>
      </c>
    </row>
    <row r="2548" spans="1:4" x14ac:dyDescent="0.25">
      <c r="A2548" t="s">
        <v>5059</v>
      </c>
      <c r="B2548" t="s">
        <v>33</v>
      </c>
      <c r="C2548" t="s">
        <v>5060</v>
      </c>
      <c r="D2548" t="s">
        <v>106</v>
      </c>
    </row>
    <row r="2549" spans="1:4" x14ac:dyDescent="0.25">
      <c r="A2549" t="s">
        <v>5061</v>
      </c>
      <c r="B2549" t="s">
        <v>33</v>
      </c>
      <c r="C2549" t="s">
        <v>5062</v>
      </c>
      <c r="D2549" t="s">
        <v>106</v>
      </c>
    </row>
    <row r="2550" spans="1:4" x14ac:dyDescent="0.25">
      <c r="A2550" t="s">
        <v>5063</v>
      </c>
      <c r="B2550" t="s">
        <v>33</v>
      </c>
      <c r="C2550" t="s">
        <v>5064</v>
      </c>
      <c r="D2550" t="s">
        <v>106</v>
      </c>
    </row>
    <row r="2551" spans="1:4" x14ac:dyDescent="0.25">
      <c r="A2551" t="s">
        <v>5065</v>
      </c>
      <c r="B2551" t="s">
        <v>33</v>
      </c>
      <c r="C2551" t="s">
        <v>5066</v>
      </c>
      <c r="D2551" t="s">
        <v>106</v>
      </c>
    </row>
    <row r="2552" spans="1:4" x14ac:dyDescent="0.25">
      <c r="A2552" t="s">
        <v>5067</v>
      </c>
      <c r="B2552" t="s">
        <v>33</v>
      </c>
      <c r="C2552" t="s">
        <v>5068</v>
      </c>
      <c r="D2552" t="s">
        <v>106</v>
      </c>
    </row>
    <row r="2553" spans="1:4" x14ac:dyDescent="0.25">
      <c r="A2553" t="s">
        <v>5069</v>
      </c>
      <c r="B2553" t="s">
        <v>33</v>
      </c>
      <c r="C2553" t="s">
        <v>5070</v>
      </c>
      <c r="D2553" t="s">
        <v>106</v>
      </c>
    </row>
    <row r="2554" spans="1:4" x14ac:dyDescent="0.25">
      <c r="A2554" t="s">
        <v>5071</v>
      </c>
      <c r="B2554" t="s">
        <v>33</v>
      </c>
      <c r="C2554" t="s">
        <v>5072</v>
      </c>
      <c r="D2554" t="s">
        <v>106</v>
      </c>
    </row>
    <row r="2555" spans="1:4" x14ac:dyDescent="0.25">
      <c r="A2555" t="s">
        <v>5073</v>
      </c>
      <c r="B2555" t="s">
        <v>33</v>
      </c>
      <c r="C2555" t="s">
        <v>5074</v>
      </c>
      <c r="D2555" t="s">
        <v>106</v>
      </c>
    </row>
    <row r="2556" spans="1:4" x14ac:dyDescent="0.25">
      <c r="A2556" t="s">
        <v>5075</v>
      </c>
      <c r="B2556" t="s">
        <v>33</v>
      </c>
      <c r="C2556" t="s">
        <v>5076</v>
      </c>
      <c r="D2556" t="s">
        <v>106</v>
      </c>
    </row>
    <row r="2557" spans="1:4" x14ac:dyDescent="0.25">
      <c r="A2557" t="s">
        <v>5077</v>
      </c>
      <c r="B2557" t="s">
        <v>33</v>
      </c>
      <c r="C2557" t="s">
        <v>5078</v>
      </c>
      <c r="D2557" t="s">
        <v>106</v>
      </c>
    </row>
    <row r="2558" spans="1:4" x14ac:dyDescent="0.25">
      <c r="A2558" t="s">
        <v>5079</v>
      </c>
      <c r="B2558" t="s">
        <v>33</v>
      </c>
      <c r="C2558" t="s">
        <v>5080</v>
      </c>
      <c r="D2558" t="s">
        <v>106</v>
      </c>
    </row>
    <row r="2559" spans="1:4" x14ac:dyDescent="0.25">
      <c r="A2559" t="s">
        <v>5081</v>
      </c>
      <c r="B2559" t="s">
        <v>33</v>
      </c>
      <c r="C2559" t="s">
        <v>5082</v>
      </c>
      <c r="D2559" t="s">
        <v>106</v>
      </c>
    </row>
    <row r="2560" spans="1:4" x14ac:dyDescent="0.25">
      <c r="A2560" t="s">
        <v>5083</v>
      </c>
      <c r="B2560" t="s">
        <v>33</v>
      </c>
      <c r="C2560" t="s">
        <v>5084</v>
      </c>
      <c r="D2560" t="s">
        <v>106</v>
      </c>
    </row>
    <row r="2561" spans="1:4" x14ac:dyDescent="0.25">
      <c r="A2561" t="s">
        <v>5085</v>
      </c>
      <c r="B2561" t="s">
        <v>33</v>
      </c>
      <c r="C2561" t="s">
        <v>5086</v>
      </c>
      <c r="D2561" t="s">
        <v>106</v>
      </c>
    </row>
    <row r="2562" spans="1:4" x14ac:dyDescent="0.25">
      <c r="A2562" t="s">
        <v>5087</v>
      </c>
      <c r="B2562" t="s">
        <v>33</v>
      </c>
      <c r="C2562" t="s">
        <v>5088</v>
      </c>
      <c r="D2562" t="s">
        <v>106</v>
      </c>
    </row>
    <row r="2563" spans="1:4" x14ac:dyDescent="0.25">
      <c r="A2563" t="s">
        <v>5089</v>
      </c>
      <c r="B2563" t="s">
        <v>33</v>
      </c>
      <c r="C2563" t="s">
        <v>5090</v>
      </c>
      <c r="D2563" t="s">
        <v>106</v>
      </c>
    </row>
    <row r="2564" spans="1:4" x14ac:dyDescent="0.25">
      <c r="A2564" t="s">
        <v>5091</v>
      </c>
      <c r="B2564" t="s">
        <v>33</v>
      </c>
      <c r="C2564" t="s">
        <v>5092</v>
      </c>
      <c r="D2564" t="s">
        <v>106</v>
      </c>
    </row>
    <row r="2565" spans="1:4" x14ac:dyDescent="0.25">
      <c r="A2565" t="s">
        <v>5093</v>
      </c>
      <c r="B2565" t="s">
        <v>33</v>
      </c>
      <c r="C2565" t="s">
        <v>5094</v>
      </c>
      <c r="D2565" t="s">
        <v>106</v>
      </c>
    </row>
    <row r="2566" spans="1:4" x14ac:dyDescent="0.25">
      <c r="A2566" t="s">
        <v>5095</v>
      </c>
      <c r="B2566" t="s">
        <v>33</v>
      </c>
      <c r="C2566" t="s">
        <v>5096</v>
      </c>
      <c r="D2566" t="s">
        <v>106</v>
      </c>
    </row>
    <row r="2567" spans="1:4" x14ac:dyDescent="0.25">
      <c r="A2567" t="s">
        <v>5097</v>
      </c>
      <c r="B2567" t="s">
        <v>33</v>
      </c>
      <c r="C2567" t="s">
        <v>5098</v>
      </c>
      <c r="D2567" t="s">
        <v>106</v>
      </c>
    </row>
    <row r="2568" spans="1:4" x14ac:dyDescent="0.25">
      <c r="A2568" t="s">
        <v>5099</v>
      </c>
      <c r="B2568" t="s">
        <v>33</v>
      </c>
      <c r="C2568" t="s">
        <v>5100</v>
      </c>
      <c r="D2568" t="s">
        <v>106</v>
      </c>
    </row>
    <row r="2569" spans="1:4" x14ac:dyDescent="0.25">
      <c r="A2569" t="s">
        <v>5101</v>
      </c>
      <c r="B2569" t="s">
        <v>33</v>
      </c>
      <c r="C2569" t="s">
        <v>5102</v>
      </c>
      <c r="D2569" t="s">
        <v>106</v>
      </c>
    </row>
    <row r="2570" spans="1:4" x14ac:dyDescent="0.25">
      <c r="A2570" t="s">
        <v>5103</v>
      </c>
      <c r="B2570" t="s">
        <v>33</v>
      </c>
      <c r="C2570" t="s">
        <v>5104</v>
      </c>
      <c r="D2570" t="s">
        <v>106</v>
      </c>
    </row>
    <row r="2571" spans="1:4" x14ac:dyDescent="0.25">
      <c r="A2571" t="s">
        <v>5105</v>
      </c>
      <c r="B2571" t="s">
        <v>33</v>
      </c>
      <c r="C2571" t="s">
        <v>5106</v>
      </c>
      <c r="D2571" t="s">
        <v>106</v>
      </c>
    </row>
    <row r="2572" spans="1:4" x14ac:dyDescent="0.25">
      <c r="A2572" t="s">
        <v>5107</v>
      </c>
      <c r="B2572" t="s">
        <v>33</v>
      </c>
      <c r="C2572" t="s">
        <v>5108</v>
      </c>
      <c r="D2572" t="s">
        <v>106</v>
      </c>
    </row>
    <row r="2573" spans="1:4" x14ac:dyDescent="0.25">
      <c r="A2573" t="s">
        <v>5109</v>
      </c>
      <c r="B2573" t="s">
        <v>33</v>
      </c>
      <c r="C2573" t="s">
        <v>5110</v>
      </c>
      <c r="D2573" t="s">
        <v>106</v>
      </c>
    </row>
    <row r="2574" spans="1:4" x14ac:dyDescent="0.25">
      <c r="A2574" t="s">
        <v>5111</v>
      </c>
      <c r="B2574" t="s">
        <v>33</v>
      </c>
      <c r="C2574" t="s">
        <v>5112</v>
      </c>
      <c r="D2574" t="s">
        <v>106</v>
      </c>
    </row>
    <row r="2575" spans="1:4" x14ac:dyDescent="0.25">
      <c r="A2575" t="s">
        <v>5113</v>
      </c>
      <c r="B2575" t="s">
        <v>33</v>
      </c>
      <c r="C2575" t="s">
        <v>5114</v>
      </c>
      <c r="D2575" t="s">
        <v>106</v>
      </c>
    </row>
    <row r="2576" spans="1:4" x14ac:dyDescent="0.25">
      <c r="A2576" t="s">
        <v>5115</v>
      </c>
      <c r="B2576" t="s">
        <v>33</v>
      </c>
      <c r="C2576" t="s">
        <v>5116</v>
      </c>
      <c r="D2576" t="s">
        <v>106</v>
      </c>
    </row>
    <row r="2577" spans="1:4" x14ac:dyDescent="0.25">
      <c r="A2577" t="s">
        <v>5117</v>
      </c>
      <c r="B2577" t="s">
        <v>33</v>
      </c>
      <c r="C2577" t="s">
        <v>5118</v>
      </c>
      <c r="D2577" t="s">
        <v>106</v>
      </c>
    </row>
    <row r="2578" spans="1:4" x14ac:dyDescent="0.25">
      <c r="A2578" t="s">
        <v>5119</v>
      </c>
      <c r="B2578" t="s">
        <v>33</v>
      </c>
      <c r="C2578" t="s">
        <v>5120</v>
      </c>
      <c r="D2578" t="s">
        <v>106</v>
      </c>
    </row>
    <row r="2579" spans="1:4" x14ac:dyDescent="0.25">
      <c r="A2579" t="s">
        <v>5121</v>
      </c>
      <c r="B2579" t="s">
        <v>33</v>
      </c>
      <c r="C2579" t="s">
        <v>5122</v>
      </c>
      <c r="D2579" t="s">
        <v>106</v>
      </c>
    </row>
    <row r="2580" spans="1:4" x14ac:dyDescent="0.25">
      <c r="A2580" t="s">
        <v>5123</v>
      </c>
      <c r="B2580" t="s">
        <v>33</v>
      </c>
      <c r="C2580" t="s">
        <v>5124</v>
      </c>
      <c r="D2580" t="s">
        <v>106</v>
      </c>
    </row>
    <row r="2581" spans="1:4" x14ac:dyDescent="0.25">
      <c r="A2581" t="s">
        <v>5125</v>
      </c>
      <c r="B2581" t="s">
        <v>33</v>
      </c>
      <c r="C2581" t="s">
        <v>5126</v>
      </c>
      <c r="D2581" t="s">
        <v>106</v>
      </c>
    </row>
    <row r="2582" spans="1:4" x14ac:dyDescent="0.25">
      <c r="A2582" t="s">
        <v>5127</v>
      </c>
      <c r="B2582" t="s">
        <v>33</v>
      </c>
      <c r="C2582" t="s">
        <v>5128</v>
      </c>
      <c r="D2582" t="s">
        <v>106</v>
      </c>
    </row>
    <row r="2583" spans="1:4" x14ac:dyDescent="0.25">
      <c r="A2583" t="s">
        <v>5129</v>
      </c>
      <c r="B2583" t="s">
        <v>33</v>
      </c>
      <c r="C2583" t="s">
        <v>5130</v>
      </c>
      <c r="D2583" t="s">
        <v>106</v>
      </c>
    </row>
    <row r="2584" spans="1:4" x14ac:dyDescent="0.25">
      <c r="A2584" t="s">
        <v>5131</v>
      </c>
      <c r="B2584" t="s">
        <v>33</v>
      </c>
      <c r="C2584" t="s">
        <v>5132</v>
      </c>
      <c r="D2584" t="s">
        <v>106</v>
      </c>
    </row>
    <row r="2585" spans="1:4" x14ac:dyDescent="0.25">
      <c r="A2585" t="s">
        <v>5133</v>
      </c>
      <c r="B2585" t="s">
        <v>33</v>
      </c>
      <c r="C2585" t="s">
        <v>5116</v>
      </c>
      <c r="D2585" t="s">
        <v>106</v>
      </c>
    </row>
    <row r="2586" spans="1:4" x14ac:dyDescent="0.25">
      <c r="A2586" t="s">
        <v>5134</v>
      </c>
      <c r="B2586" t="s">
        <v>33</v>
      </c>
      <c r="C2586" t="s">
        <v>5135</v>
      </c>
      <c r="D2586" t="s">
        <v>106</v>
      </c>
    </row>
    <row r="2587" spans="1:4" x14ac:dyDescent="0.25">
      <c r="A2587" t="s">
        <v>5136</v>
      </c>
      <c r="B2587" t="s">
        <v>33</v>
      </c>
      <c r="C2587" t="s">
        <v>5137</v>
      </c>
      <c r="D2587" t="s">
        <v>106</v>
      </c>
    </row>
    <row r="2588" spans="1:4" x14ac:dyDescent="0.25">
      <c r="A2588" t="s">
        <v>5138</v>
      </c>
      <c r="B2588" t="s">
        <v>33</v>
      </c>
      <c r="C2588" t="s">
        <v>5139</v>
      </c>
      <c r="D2588" t="s">
        <v>106</v>
      </c>
    </row>
    <row r="2589" spans="1:4" x14ac:dyDescent="0.25">
      <c r="A2589" t="s">
        <v>5140</v>
      </c>
      <c r="B2589" t="s">
        <v>33</v>
      </c>
      <c r="C2589" t="s">
        <v>5141</v>
      </c>
      <c r="D2589" t="s">
        <v>106</v>
      </c>
    </row>
    <row r="2590" spans="1:4" x14ac:dyDescent="0.25">
      <c r="A2590" t="s">
        <v>5142</v>
      </c>
      <c r="B2590" t="s">
        <v>33</v>
      </c>
      <c r="C2590" t="s">
        <v>5143</v>
      </c>
      <c r="D2590" t="s">
        <v>106</v>
      </c>
    </row>
    <row r="2591" spans="1:4" x14ac:dyDescent="0.25">
      <c r="A2591" t="s">
        <v>5144</v>
      </c>
      <c r="B2591" t="s">
        <v>33</v>
      </c>
      <c r="C2591" t="s">
        <v>5145</v>
      </c>
      <c r="D2591" t="s">
        <v>106</v>
      </c>
    </row>
    <row r="2592" spans="1:4" x14ac:dyDescent="0.25">
      <c r="A2592" t="s">
        <v>5146</v>
      </c>
      <c r="B2592" t="s">
        <v>33</v>
      </c>
      <c r="C2592" t="s">
        <v>5147</v>
      </c>
      <c r="D2592" t="s">
        <v>106</v>
      </c>
    </row>
    <row r="2593" spans="1:4" x14ac:dyDescent="0.25">
      <c r="A2593" t="s">
        <v>5148</v>
      </c>
      <c r="B2593" t="s">
        <v>33</v>
      </c>
      <c r="C2593" t="s">
        <v>5149</v>
      </c>
      <c r="D2593" t="s">
        <v>106</v>
      </c>
    </row>
    <row r="2594" spans="1:4" x14ac:dyDescent="0.25">
      <c r="A2594" t="s">
        <v>5150</v>
      </c>
      <c r="B2594" t="s">
        <v>33</v>
      </c>
      <c r="C2594" t="s">
        <v>5151</v>
      </c>
      <c r="D2594" t="s">
        <v>106</v>
      </c>
    </row>
    <row r="2595" spans="1:4" x14ac:dyDescent="0.25">
      <c r="A2595" t="s">
        <v>5152</v>
      </c>
      <c r="B2595" t="s">
        <v>33</v>
      </c>
      <c r="C2595" t="s">
        <v>5153</v>
      </c>
      <c r="D2595" t="s">
        <v>106</v>
      </c>
    </row>
    <row r="2596" spans="1:4" x14ac:dyDescent="0.25">
      <c r="A2596" t="s">
        <v>5154</v>
      </c>
      <c r="B2596" t="s">
        <v>33</v>
      </c>
      <c r="C2596" t="s">
        <v>5155</v>
      </c>
      <c r="D2596" t="s">
        <v>106</v>
      </c>
    </row>
    <row r="2597" spans="1:4" x14ac:dyDescent="0.25">
      <c r="A2597" t="s">
        <v>5156</v>
      </c>
      <c r="B2597" t="s">
        <v>33</v>
      </c>
      <c r="C2597" t="s">
        <v>5157</v>
      </c>
      <c r="D2597" t="s">
        <v>106</v>
      </c>
    </row>
    <row r="2598" spans="1:4" x14ac:dyDescent="0.25">
      <c r="A2598" t="s">
        <v>5158</v>
      </c>
      <c r="B2598" t="s">
        <v>33</v>
      </c>
      <c r="C2598" t="s">
        <v>5159</v>
      </c>
      <c r="D2598" t="s">
        <v>106</v>
      </c>
    </row>
    <row r="2599" spans="1:4" x14ac:dyDescent="0.25">
      <c r="A2599" t="s">
        <v>5160</v>
      </c>
      <c r="B2599" t="s">
        <v>33</v>
      </c>
      <c r="C2599" t="s">
        <v>5161</v>
      </c>
      <c r="D2599" t="s">
        <v>106</v>
      </c>
    </row>
    <row r="2600" spans="1:4" x14ac:dyDescent="0.25">
      <c r="A2600" t="s">
        <v>5162</v>
      </c>
      <c r="B2600" t="s">
        <v>33</v>
      </c>
      <c r="C2600" t="s">
        <v>5163</v>
      </c>
      <c r="D2600" t="s">
        <v>106</v>
      </c>
    </row>
    <row r="2601" spans="1:4" x14ac:dyDescent="0.25">
      <c r="A2601" t="s">
        <v>5164</v>
      </c>
      <c r="B2601" t="s">
        <v>33</v>
      </c>
      <c r="C2601" t="s">
        <v>5165</v>
      </c>
      <c r="D2601" t="s">
        <v>106</v>
      </c>
    </row>
    <row r="2602" spans="1:4" x14ac:dyDescent="0.25">
      <c r="A2602" t="s">
        <v>5166</v>
      </c>
      <c r="B2602" t="s">
        <v>33</v>
      </c>
      <c r="C2602" t="s">
        <v>5167</v>
      </c>
      <c r="D2602" t="s">
        <v>106</v>
      </c>
    </row>
    <row r="2603" spans="1:4" x14ac:dyDescent="0.25">
      <c r="A2603" t="s">
        <v>5168</v>
      </c>
      <c r="B2603" t="s">
        <v>33</v>
      </c>
      <c r="C2603" t="s">
        <v>5169</v>
      </c>
      <c r="D2603" t="s">
        <v>106</v>
      </c>
    </row>
    <row r="2604" spans="1:4" x14ac:dyDescent="0.25">
      <c r="A2604" t="s">
        <v>5170</v>
      </c>
      <c r="B2604" t="s">
        <v>33</v>
      </c>
      <c r="C2604" t="s">
        <v>5171</v>
      </c>
      <c r="D2604" t="s">
        <v>106</v>
      </c>
    </row>
    <row r="2605" spans="1:4" x14ac:dyDescent="0.25">
      <c r="A2605" t="s">
        <v>5172</v>
      </c>
      <c r="B2605" t="s">
        <v>33</v>
      </c>
      <c r="C2605" t="s">
        <v>5173</v>
      </c>
      <c r="D2605" t="s">
        <v>106</v>
      </c>
    </row>
    <row r="2606" spans="1:4" x14ac:dyDescent="0.25">
      <c r="A2606" t="s">
        <v>5174</v>
      </c>
      <c r="B2606" t="s">
        <v>33</v>
      </c>
      <c r="C2606" t="s">
        <v>5175</v>
      </c>
      <c r="D2606" t="s">
        <v>106</v>
      </c>
    </row>
    <row r="2607" spans="1:4" x14ac:dyDescent="0.25">
      <c r="A2607" t="s">
        <v>5176</v>
      </c>
      <c r="B2607" t="s">
        <v>33</v>
      </c>
      <c r="C2607" t="s">
        <v>5177</v>
      </c>
      <c r="D2607" t="s">
        <v>106</v>
      </c>
    </row>
    <row r="2608" spans="1:4" x14ac:dyDescent="0.25">
      <c r="A2608" t="s">
        <v>5178</v>
      </c>
      <c r="B2608" t="s">
        <v>33</v>
      </c>
      <c r="C2608" t="s">
        <v>5179</v>
      </c>
      <c r="D2608" t="s">
        <v>106</v>
      </c>
    </row>
    <row r="2609" spans="1:4" x14ac:dyDescent="0.25">
      <c r="A2609" t="s">
        <v>5180</v>
      </c>
      <c r="B2609" t="s">
        <v>33</v>
      </c>
      <c r="C2609" t="s">
        <v>5181</v>
      </c>
      <c r="D2609" t="s">
        <v>106</v>
      </c>
    </row>
    <row r="2610" spans="1:4" x14ac:dyDescent="0.25">
      <c r="A2610" t="s">
        <v>5182</v>
      </c>
      <c r="B2610" t="s">
        <v>33</v>
      </c>
      <c r="C2610" t="s">
        <v>5183</v>
      </c>
      <c r="D2610" t="s">
        <v>106</v>
      </c>
    </row>
    <row r="2611" spans="1:4" x14ac:dyDescent="0.25">
      <c r="A2611" t="s">
        <v>5184</v>
      </c>
      <c r="B2611" t="s">
        <v>33</v>
      </c>
      <c r="C2611" t="s">
        <v>5185</v>
      </c>
      <c r="D2611" t="s">
        <v>106</v>
      </c>
    </row>
    <row r="2612" spans="1:4" x14ac:dyDescent="0.25">
      <c r="A2612" t="s">
        <v>5186</v>
      </c>
      <c r="B2612" t="s">
        <v>33</v>
      </c>
      <c r="C2612" t="s">
        <v>5187</v>
      </c>
      <c r="D2612" t="s">
        <v>106</v>
      </c>
    </row>
    <row r="2613" spans="1:4" x14ac:dyDescent="0.25">
      <c r="A2613" t="s">
        <v>5188</v>
      </c>
      <c r="B2613" t="s">
        <v>33</v>
      </c>
      <c r="C2613" t="s">
        <v>5189</v>
      </c>
      <c r="D2613" t="s">
        <v>106</v>
      </c>
    </row>
    <row r="2614" spans="1:4" x14ac:dyDescent="0.25">
      <c r="A2614" t="s">
        <v>5190</v>
      </c>
      <c r="B2614" t="s">
        <v>33</v>
      </c>
      <c r="C2614" t="s">
        <v>5191</v>
      </c>
      <c r="D2614" t="s">
        <v>106</v>
      </c>
    </row>
    <row r="2615" spans="1:4" x14ac:dyDescent="0.25">
      <c r="A2615" t="s">
        <v>5192</v>
      </c>
      <c r="B2615" t="s">
        <v>33</v>
      </c>
      <c r="C2615" t="s">
        <v>5193</v>
      </c>
      <c r="D2615" t="s">
        <v>106</v>
      </c>
    </row>
    <row r="2616" spans="1:4" x14ac:dyDescent="0.25">
      <c r="A2616" t="s">
        <v>5194</v>
      </c>
      <c r="B2616" t="s">
        <v>33</v>
      </c>
      <c r="C2616" t="s">
        <v>5195</v>
      </c>
      <c r="D2616" t="s">
        <v>106</v>
      </c>
    </row>
    <row r="2617" spans="1:4" x14ac:dyDescent="0.25">
      <c r="A2617" t="s">
        <v>5196</v>
      </c>
      <c r="B2617" t="s">
        <v>33</v>
      </c>
      <c r="C2617" t="s">
        <v>5197</v>
      </c>
      <c r="D2617" t="s">
        <v>106</v>
      </c>
    </row>
    <row r="2618" spans="1:4" x14ac:dyDescent="0.25">
      <c r="A2618" t="s">
        <v>5198</v>
      </c>
      <c r="B2618" t="s">
        <v>33</v>
      </c>
      <c r="C2618" t="s">
        <v>5199</v>
      </c>
      <c r="D2618" t="s">
        <v>106</v>
      </c>
    </row>
    <row r="2619" spans="1:4" x14ac:dyDescent="0.25">
      <c r="A2619" t="s">
        <v>5200</v>
      </c>
      <c r="B2619" t="s">
        <v>33</v>
      </c>
      <c r="C2619" t="s">
        <v>5201</v>
      </c>
      <c r="D2619" t="s">
        <v>106</v>
      </c>
    </row>
    <row r="2620" spans="1:4" x14ac:dyDescent="0.25">
      <c r="A2620" t="s">
        <v>5202</v>
      </c>
      <c r="B2620" t="s">
        <v>33</v>
      </c>
      <c r="C2620" t="s">
        <v>5203</v>
      </c>
      <c r="D2620" t="s">
        <v>106</v>
      </c>
    </row>
    <row r="2621" spans="1:4" x14ac:dyDescent="0.25">
      <c r="A2621" t="s">
        <v>5204</v>
      </c>
      <c r="B2621" t="s">
        <v>33</v>
      </c>
      <c r="C2621" t="s">
        <v>5205</v>
      </c>
      <c r="D2621" t="s">
        <v>106</v>
      </c>
    </row>
    <row r="2622" spans="1:4" x14ac:dyDescent="0.25">
      <c r="A2622" t="s">
        <v>5206</v>
      </c>
      <c r="B2622" t="s">
        <v>33</v>
      </c>
      <c r="C2622" t="s">
        <v>5207</v>
      </c>
      <c r="D2622" t="s">
        <v>106</v>
      </c>
    </row>
    <row r="2623" spans="1:4" x14ac:dyDescent="0.25">
      <c r="A2623" t="s">
        <v>5208</v>
      </c>
      <c r="B2623" t="s">
        <v>33</v>
      </c>
      <c r="C2623" t="s">
        <v>5209</v>
      </c>
      <c r="D2623" t="s">
        <v>106</v>
      </c>
    </row>
    <row r="2624" spans="1:4" x14ac:dyDescent="0.25">
      <c r="A2624" t="s">
        <v>5210</v>
      </c>
      <c r="B2624" t="s">
        <v>33</v>
      </c>
      <c r="C2624" t="s">
        <v>5211</v>
      </c>
      <c r="D2624" t="s">
        <v>106</v>
      </c>
    </row>
    <row r="2625" spans="1:4" x14ac:dyDescent="0.25">
      <c r="A2625" t="s">
        <v>5212</v>
      </c>
      <c r="B2625" t="s">
        <v>33</v>
      </c>
      <c r="C2625" t="s">
        <v>5213</v>
      </c>
      <c r="D2625" t="s">
        <v>106</v>
      </c>
    </row>
    <row r="2626" spans="1:4" x14ac:dyDescent="0.25">
      <c r="A2626" t="s">
        <v>5214</v>
      </c>
      <c r="B2626" t="s">
        <v>33</v>
      </c>
      <c r="C2626" t="s">
        <v>5215</v>
      </c>
      <c r="D2626" t="s">
        <v>106</v>
      </c>
    </row>
    <row r="2627" spans="1:4" x14ac:dyDescent="0.25">
      <c r="A2627" t="s">
        <v>5216</v>
      </c>
      <c r="B2627" t="s">
        <v>33</v>
      </c>
      <c r="C2627" t="s">
        <v>5217</v>
      </c>
      <c r="D2627" t="s">
        <v>106</v>
      </c>
    </row>
    <row r="2628" spans="1:4" x14ac:dyDescent="0.25">
      <c r="A2628" t="s">
        <v>5218</v>
      </c>
      <c r="B2628" t="s">
        <v>33</v>
      </c>
      <c r="C2628" t="s">
        <v>5219</v>
      </c>
      <c r="D2628" t="s">
        <v>106</v>
      </c>
    </row>
    <row r="2629" spans="1:4" x14ac:dyDescent="0.25">
      <c r="A2629" t="s">
        <v>5220</v>
      </c>
      <c r="B2629" t="s">
        <v>33</v>
      </c>
      <c r="C2629" t="s">
        <v>5221</v>
      </c>
      <c r="D2629" t="s">
        <v>106</v>
      </c>
    </row>
    <row r="2630" spans="1:4" x14ac:dyDescent="0.25">
      <c r="A2630" t="s">
        <v>5222</v>
      </c>
      <c r="B2630" t="s">
        <v>33</v>
      </c>
      <c r="C2630" t="s">
        <v>5223</v>
      </c>
      <c r="D2630" t="s">
        <v>106</v>
      </c>
    </row>
    <row r="2631" spans="1:4" x14ac:dyDescent="0.25">
      <c r="A2631" t="s">
        <v>5224</v>
      </c>
      <c r="B2631" t="s">
        <v>33</v>
      </c>
      <c r="C2631" t="s">
        <v>5225</v>
      </c>
      <c r="D2631" t="s">
        <v>106</v>
      </c>
    </row>
    <row r="2632" spans="1:4" x14ac:dyDescent="0.25">
      <c r="A2632" t="s">
        <v>5226</v>
      </c>
      <c r="B2632" t="s">
        <v>33</v>
      </c>
      <c r="C2632" t="s">
        <v>5227</v>
      </c>
      <c r="D2632" t="s">
        <v>106</v>
      </c>
    </row>
    <row r="2633" spans="1:4" x14ac:dyDescent="0.25">
      <c r="A2633" t="s">
        <v>5228</v>
      </c>
      <c r="B2633" t="s">
        <v>33</v>
      </c>
      <c r="C2633" t="s">
        <v>5229</v>
      </c>
      <c r="D2633" t="s">
        <v>106</v>
      </c>
    </row>
    <row r="2634" spans="1:4" x14ac:dyDescent="0.25">
      <c r="A2634" t="s">
        <v>5230</v>
      </c>
      <c r="B2634" t="s">
        <v>267</v>
      </c>
      <c r="C2634" t="s">
        <v>5231</v>
      </c>
      <c r="D2634" t="s">
        <v>532</v>
      </c>
    </row>
    <row r="2635" spans="1:4" x14ac:dyDescent="0.25">
      <c r="A2635" t="s">
        <v>5232</v>
      </c>
      <c r="B2635" t="s">
        <v>5233</v>
      </c>
      <c r="C2635" t="s">
        <v>5234</v>
      </c>
      <c r="D2635" t="s">
        <v>16</v>
      </c>
    </row>
    <row r="2636" spans="1:4" x14ac:dyDescent="0.25">
      <c r="A2636" t="s">
        <v>5235</v>
      </c>
      <c r="B2636" t="s">
        <v>5236</v>
      </c>
      <c r="C2636" t="s">
        <v>5237</v>
      </c>
      <c r="D2636" t="s">
        <v>5238</v>
      </c>
    </row>
    <row r="2637" spans="1:4" x14ac:dyDescent="0.25">
      <c r="A2637" t="s">
        <v>5239</v>
      </c>
      <c r="B2637" t="s">
        <v>5236</v>
      </c>
      <c r="C2637" t="s">
        <v>5240</v>
      </c>
      <c r="D2637" t="s">
        <v>5238</v>
      </c>
    </row>
    <row r="2638" spans="1:4" x14ac:dyDescent="0.25">
      <c r="A2638" t="s">
        <v>5241</v>
      </c>
      <c r="B2638" t="s">
        <v>1454</v>
      </c>
      <c r="C2638" t="s">
        <v>5242</v>
      </c>
      <c r="D2638" t="s">
        <v>8</v>
      </c>
    </row>
    <row r="2639" spans="1:4" x14ac:dyDescent="0.25">
      <c r="A2639" t="s">
        <v>5243</v>
      </c>
      <c r="B2639" t="s">
        <v>267</v>
      </c>
      <c r="C2639" t="s">
        <v>5244</v>
      </c>
      <c r="D2639" t="s">
        <v>329</v>
      </c>
    </row>
    <row r="2640" spans="1:4" x14ac:dyDescent="0.25">
      <c r="A2640" t="s">
        <v>5245</v>
      </c>
      <c r="B2640" t="s">
        <v>267</v>
      </c>
      <c r="C2640" t="s">
        <v>5246</v>
      </c>
      <c r="D2640" t="s">
        <v>329</v>
      </c>
    </row>
    <row r="2641" spans="1:4" x14ac:dyDescent="0.25">
      <c r="A2641" t="s">
        <v>5247</v>
      </c>
      <c r="B2641" t="s">
        <v>5233</v>
      </c>
      <c r="C2641" t="s">
        <v>5248</v>
      </c>
      <c r="D2641" t="s">
        <v>16</v>
      </c>
    </row>
    <row r="2642" spans="1:4" x14ac:dyDescent="0.25">
      <c r="A2642" t="s">
        <v>5249</v>
      </c>
      <c r="B2642" t="s">
        <v>5250</v>
      </c>
      <c r="C2642" t="s">
        <v>5251</v>
      </c>
      <c r="D2642" t="s">
        <v>16</v>
      </c>
    </row>
    <row r="2643" spans="1:4" x14ac:dyDescent="0.25">
      <c r="A2643" t="s">
        <v>5252</v>
      </c>
      <c r="B2643" t="s">
        <v>1454</v>
      </c>
      <c r="C2643" t="s">
        <v>5253</v>
      </c>
      <c r="D2643" t="s">
        <v>3633</v>
      </c>
    </row>
    <row r="2644" spans="1:4" x14ac:dyDescent="0.25">
      <c r="A2644" t="s">
        <v>5254</v>
      </c>
      <c r="B2644" t="s">
        <v>267</v>
      </c>
      <c r="C2644" t="s">
        <v>5255</v>
      </c>
      <c r="D26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FMM</vt:lpstr>
      <vt:lpstr>FMM (2)</vt:lpstr>
      <vt:lpstr>FMM (3)</vt:lpstr>
      <vt:lpstr>FMM (4)</vt:lpstr>
      <vt:lpstr>FMM (5)</vt:lpstr>
      <vt:lpstr>FMM (6)</vt:lpstr>
      <vt:lpstr>FMM (7)</vt:lpstr>
      <vt:lpstr>FMM (8)</vt:lpstr>
      <vt:lpstr>FMM (9)</vt:lpstr>
      <vt:lpstr>FMM (10)</vt:lpstr>
      <vt:lpstr>FMM (11)</vt:lpstr>
      <vt:lpstr>Sheet1</vt:lpstr>
      <vt:lpstr>ITEM LIST</vt:lpstr>
      <vt:lpstr>FMM!Print_Area</vt:lpstr>
      <vt:lpstr>'FMM (10)'!Print_Area</vt:lpstr>
      <vt:lpstr>'FMM (11)'!Print_Area</vt:lpstr>
      <vt:lpstr>'FMM (2)'!Print_Area</vt:lpstr>
      <vt:lpstr>'FMM (3)'!Print_Area</vt:lpstr>
      <vt:lpstr>'FMM (4)'!Print_Area</vt:lpstr>
      <vt:lpstr>'FMM (5)'!Print_Area</vt:lpstr>
      <vt:lpstr>'FMM (6)'!Print_Area</vt:lpstr>
      <vt:lpstr>'FMM (7)'!Print_Area</vt:lpstr>
      <vt:lpstr>'FMM (8)'!Print_Area</vt:lpstr>
      <vt:lpstr>'FMM (9)'!Print_Area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Monica Ramos</dc:creator>
  <cp:lastModifiedBy>Polly Anne Cantillo</cp:lastModifiedBy>
  <cp:lastPrinted>2026-02-03T06:50:48Z</cp:lastPrinted>
  <dcterms:created xsi:type="dcterms:W3CDTF">2025-11-13T02:29:00Z</dcterms:created>
  <dcterms:modified xsi:type="dcterms:W3CDTF">2026-02-03T08:09:58Z</dcterms:modified>
</cp:coreProperties>
</file>